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8"/>
  </bookViews>
  <sheets>
    <sheet name="Exercice1" sheetId="1" r:id="rId1"/>
    <sheet name="Exercice2" sheetId="2" r:id="rId2"/>
    <sheet name="Exercice3" sheetId="4" r:id="rId3"/>
    <sheet name="T1_2024" sheetId="5" r:id="rId4"/>
    <sheet name="T2_2024" sheetId="6" r:id="rId5"/>
    <sheet name="T3_2024" sheetId="7" r:id="rId6"/>
    <sheet name="T4_2024" sheetId="8" r:id="rId7"/>
    <sheet name="BILAN_ANNUEL" sheetId="9" r:id="rId8"/>
    <sheet name="Exercice5" sheetId="15" r:id="rId9"/>
    <sheet name="Exercice6" sheetId="17" r:id="rId10"/>
  </sheets>
  <definedNames>
    <definedName name="_xlnm.Print_Titles" localSheetId="9">Exercice6!$1:$1</definedName>
    <definedName name="_xlnm.Print_Area" localSheetId="9">Exercice6!$A$1:$K$25</definedName>
  </definedNames>
  <calcPr calcId="162913"/>
</workbook>
</file>

<file path=xl/calcChain.xml><?xml version="1.0" encoding="utf-8"?>
<calcChain xmlns="http://schemas.openxmlformats.org/spreadsheetml/2006/main">
  <c r="C7" i="17" l="1"/>
  <c r="B7" i="17"/>
  <c r="C6" i="17"/>
  <c r="B6" i="17"/>
  <c r="C5" i="17"/>
  <c r="B5" i="17"/>
  <c r="C4" i="17"/>
  <c r="C8" i="17" s="1"/>
  <c r="B4" i="17"/>
  <c r="B8" i="17" s="1"/>
  <c r="C7" i="15"/>
  <c r="B7" i="15"/>
  <c r="C6" i="15"/>
  <c r="B6" i="15"/>
  <c r="C5" i="15"/>
  <c r="B5" i="15"/>
  <c r="C4" i="15"/>
  <c r="C8" i="15" s="1"/>
  <c r="B4" i="15"/>
  <c r="B8" i="15" s="1"/>
  <c r="B4" i="9"/>
  <c r="C4" i="9"/>
  <c r="D12" i="8"/>
  <c r="D11" i="8"/>
  <c r="D10" i="8"/>
  <c r="D8" i="8"/>
  <c r="C8" i="8"/>
  <c r="B7" i="9" s="1"/>
  <c r="E7" i="8"/>
  <c r="E6" i="8"/>
  <c r="E5" i="8"/>
  <c r="E4" i="8"/>
  <c r="D12" i="7"/>
  <c r="D11" i="7"/>
  <c r="D10" i="7"/>
  <c r="D8" i="7"/>
  <c r="C8" i="7"/>
  <c r="B6" i="9" s="1"/>
  <c r="E7" i="7"/>
  <c r="E6" i="7"/>
  <c r="E5" i="7"/>
  <c r="E4" i="7"/>
  <c r="D12" i="6"/>
  <c r="D11" i="6"/>
  <c r="D10" i="6"/>
  <c r="D8" i="6"/>
  <c r="C8" i="6"/>
  <c r="B5" i="9" s="1"/>
  <c r="E7" i="6"/>
  <c r="E6" i="6"/>
  <c r="E5" i="6"/>
  <c r="E4" i="6"/>
  <c r="D12" i="5"/>
  <c r="D11" i="5"/>
  <c r="D10" i="5"/>
  <c r="D8" i="5"/>
  <c r="C8" i="5"/>
  <c r="E7" i="5"/>
  <c r="E8" i="5" s="1"/>
  <c r="E6" i="5"/>
  <c r="E5" i="5"/>
  <c r="E4" i="5"/>
  <c r="E5" i="4"/>
  <c r="E6" i="4"/>
  <c r="E7" i="4"/>
  <c r="E4" i="4"/>
  <c r="D12" i="4"/>
  <c r="D11" i="4"/>
  <c r="D10" i="4"/>
  <c r="D8" i="4"/>
  <c r="C8" i="4"/>
  <c r="E8" i="8" l="1"/>
  <c r="C7" i="9" s="1"/>
  <c r="E8" i="7"/>
  <c r="C6" i="9" s="1"/>
  <c r="B8" i="9"/>
  <c r="E8" i="6"/>
  <c r="C5" i="9" s="1"/>
  <c r="E8" i="4"/>
  <c r="C8" i="9" l="1"/>
</calcChain>
</file>

<file path=xl/sharedStrings.xml><?xml version="1.0" encoding="utf-8"?>
<sst xmlns="http://schemas.openxmlformats.org/spreadsheetml/2006/main" count="127" uniqueCount="37">
  <si>
    <t>Suivi des Ventes</t>
  </si>
  <si>
    <t>Date</t>
  </si>
  <si>
    <t>Produit</t>
  </si>
  <si>
    <t>Quantité</t>
  </si>
  <si>
    <t>Prix unitaire</t>
  </si>
  <si>
    <t>Rapport des Ventes 2024</t>
  </si>
  <si>
    <t>Total</t>
  </si>
  <si>
    <t>Ordinateur</t>
  </si>
  <si>
    <t>Souris</t>
  </si>
  <si>
    <t>Clavier</t>
  </si>
  <si>
    <t>Ecran</t>
  </si>
  <si>
    <t>TOTAUX</t>
  </si>
  <si>
    <t>Prix moyen</t>
  </si>
  <si>
    <t>Prix minimum</t>
  </si>
  <si>
    <t>Prix maximum</t>
  </si>
  <si>
    <t>AutoFill</t>
  </si>
  <si>
    <t>Mois</t>
  </si>
  <si>
    <t>Jours</t>
  </si>
  <si>
    <t>Années</t>
  </si>
  <si>
    <t>Jours ouvrés</t>
  </si>
  <si>
    <t>BILAN ANNUEL</t>
  </si>
  <si>
    <t>Trimestre</t>
  </si>
  <si>
    <t>T1</t>
  </si>
  <si>
    <t>T2</t>
  </si>
  <si>
    <t>T3</t>
  </si>
  <si>
    <t>T4</t>
  </si>
  <si>
    <t>CA Total</t>
  </si>
  <si>
    <t>Nb Ventes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</si>
  <si>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</si>
  <si>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</si>
  <si>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</si>
  <si>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</si>
  <si>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</si>
  <si>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</si>
  <si>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</si>
  <si>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</si>
  <si>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Serie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</si>
</sst>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\ &quot;€&quot;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  <xf numFmtId="1" fontId="0" fillId="0" borderId="0" xfId="0" applyNumberFormat="1"/>
    <xf numFmtId="164" fontId="0" fillId="0" borderId="0" xfId="0" applyNumberFormat="1"/>
    <xf numFmtId="0" fontId="0" fillId="0" borderId="0" xfId="0" applyBorder="1"/>
    <xf numFmtId="14" fontId="0" fillId="0" borderId="4" xfId="0" applyNumberFormat="1" applyBorder="1"/>
    <xf numFmtId="0" fontId="0" fillId="0" borderId="4" xfId="0" applyBorder="1"/>
    <xf numFmtId="1" fontId="0" fillId="0" borderId="4" xfId="0" applyNumberFormat="1" applyBorder="1"/>
    <xf numFmtId="164" fontId="0" fillId="0" borderId="4" xfId="0" applyNumberFormat="1" applyBorder="1"/>
    <xf numFmtId="14" fontId="1" fillId="2" borderId="5" xfId="0" applyNumberFormat="1" applyFont="1" applyFill="1" applyBorder="1"/>
    <xf numFmtId="0" fontId="1" fillId="2" borderId="6" xfId="0" applyFont="1" applyFill="1" applyBorder="1"/>
    <xf numFmtId="1" fontId="1" fillId="2" borderId="6" xfId="0" applyNumberFormat="1" applyFont="1" applyFill="1" applyBorder="1"/>
    <xf numFmtId="164" fontId="1" fillId="2" borderId="6" xfId="0" applyNumberFormat="1" applyFont="1" applyFill="1" applyBorder="1"/>
    <xf numFmtId="164" fontId="1" fillId="2" borderId="7" xfId="0" applyNumberFormat="1" applyFont="1" applyFill="1" applyBorder="1"/>
    <xf numFmtId="14" fontId="0" fillId="0" borderId="8" xfId="0" applyNumberFormat="1" applyBorder="1"/>
    <xf numFmtId="164" fontId="0" fillId="0" borderId="9" xfId="0" applyNumberFormat="1" applyBorder="1"/>
    <xf numFmtId="164" fontId="0" fillId="0" borderId="12" xfId="0" applyNumberFormat="1" applyBorder="1"/>
    <xf numFmtId="14" fontId="0" fillId="3" borderId="8" xfId="0" applyNumberFormat="1" applyFill="1" applyBorder="1"/>
    <xf numFmtId="0" fontId="0" fillId="3" borderId="4" xfId="0" applyFill="1" applyBorder="1"/>
    <xf numFmtId="1" fontId="0" fillId="3" borderId="4" xfId="0" applyNumberFormat="1" applyFill="1" applyBorder="1"/>
    <xf numFmtId="164" fontId="0" fillId="3" borderId="4" xfId="0" applyNumberFormat="1" applyFill="1" applyBorder="1"/>
    <xf numFmtId="164" fontId="0" fillId="3" borderId="9" xfId="0" applyNumberFormat="1" applyFill="1" applyBorder="1"/>
    <xf numFmtId="14" fontId="0" fillId="3" borderId="10" xfId="0" applyNumberFormat="1" applyFill="1" applyBorder="1"/>
    <xf numFmtId="0" fontId="0" fillId="3" borderId="11" xfId="0" applyFont="1" applyFill="1" applyBorder="1"/>
    <xf numFmtId="1" fontId="0" fillId="3" borderId="11" xfId="0" applyNumberFormat="1" applyFill="1" applyBorder="1"/>
    <xf numFmtId="164" fontId="0" fillId="3" borderId="11" xfId="0" applyNumberFormat="1" applyFill="1" applyBorder="1"/>
    <xf numFmtId="164" fontId="0" fillId="3" borderId="12" xfId="0" applyNumberFormat="1" applyFill="1" applyBorder="1"/>
    <xf numFmtId="14" fontId="0" fillId="0" borderId="0" xfId="0" applyNumberFormat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14" fontId="0" fillId="0" borderId="13" xfId="0" applyNumberFormat="1" applyBorder="1"/>
    <xf numFmtId="0" fontId="0" fillId="0" borderId="0" xfId="0" applyAlignment="1">
      <alignment horizontal="center"/>
    </xf>
    <xf numFmtId="0" fontId="0" fillId="0" borderId="8" xfId="0" applyBorder="1"/>
    <xf numFmtId="0" fontId="0" fillId="5" borderId="5" xfId="0" applyFill="1" applyBorder="1"/>
    <xf numFmtId="1" fontId="0" fillId="5" borderId="6" xfId="0" applyNumberFormat="1" applyFill="1" applyBorder="1"/>
    <xf numFmtId="164" fontId="0" fillId="5" borderId="7" xfId="0" applyNumberFormat="1" applyFill="1" applyBorder="1"/>
    <xf numFmtId="0" fontId="0" fillId="4" borderId="8" xfId="0" applyFill="1" applyBorder="1"/>
    <xf numFmtId="1" fontId="0" fillId="4" borderId="4" xfId="0" applyNumberFormat="1" applyFill="1" applyBorder="1"/>
    <xf numFmtId="164" fontId="0" fillId="4" borderId="9" xfId="0" applyNumberFormat="1" applyFill="1" applyBorder="1"/>
    <xf numFmtId="0" fontId="0" fillId="4" borderId="10" xfId="0" applyFill="1" applyBorder="1"/>
    <xf numFmtId="1" fontId="0" fillId="4" borderId="11" xfId="0" applyNumberFormat="1" applyFill="1" applyBorder="1"/>
    <xf numFmtId="164" fontId="0" fillId="4" borderId="12" xfId="0" applyNumberFormat="1" applyFill="1" applyBorder="1"/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5" borderId="5" xfId="0" applyFill="1" applyBorder="1" applyAlignment="1">
      <alignment horizontal="center"/>
    </xf>
    <xf numFmtId="1" fontId="0" fillId="5" borderId="6" xfId="0" applyNumberFormat="1" applyFill="1" applyBorder="1" applyAlignment="1">
      <alignment horizontal="center"/>
    </xf>
    <xf numFmtId="164" fontId="0" fillId="5" borderId="7" xfId="0" applyNumberFormat="1" applyFill="1" applyBorder="1" applyAlignment="1">
      <alignment horizontal="center"/>
    </xf>
    <xf numFmtId="0" fontId="0" fillId="0" borderId="8" xfId="0" applyBorder="1" applyAlignment="1">
      <alignment horizontal="center"/>
    </xf>
    <xf numFmtId="1" fontId="0" fillId="0" borderId="4" xfId="0" applyNumberForma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0" fontId="0" fillId="4" borderId="8" xfId="0" applyFill="1" applyBorder="1" applyAlignment="1">
      <alignment horizontal="center"/>
    </xf>
    <xf numFmtId="1" fontId="0" fillId="4" borderId="4" xfId="0" applyNumberFormat="1" applyFill="1" applyBorder="1" applyAlignment="1">
      <alignment horizontal="center"/>
    </xf>
    <xf numFmtId="164" fontId="0" fillId="4" borderId="9" xfId="0" applyNumberFormat="1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1" fontId="0" fillId="4" borderId="11" xfId="0" applyNumberFormat="1" applyFill="1" applyBorder="1" applyAlignment="1">
      <alignment horizontal="center"/>
    </xf>
    <xf numFmtId="164" fontId="0" fillId="4" borderId="12" xfId="0" applyNumberFormat="1" applyFill="1" applyBorder="1" applyAlignment="1">
      <alignment horizontal="center"/>
    </xf>
    <xf numFmtId="0" fontId="0" fillId="0" borderId="0" xfId="0" applyFill="1" applyBorder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BE" sz="1400" b="0" i="0" u="none" strike="noStrike" baseline="0">
                <a:effectLst/>
              </a:rPr>
              <a:t>Chiffre d'Affaires 2024 par Trimestre</a:t>
            </a:r>
            <a:endParaRPr lang="fr-BE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layout/>
                <c15:showLeaderLines val="0"/>
              </c:ext>
            </c:extLst>
          </c:dLbls>
          <c:val>
            <c:numRef>
              <c:f>Exercice5!$C$4:$C$7</c:f>
              <c:numCache>
                <c:formatCode>#,##0.00\ "€"</c:formatCode>
                <c:ptCount val="4"/>
                <c:pt idx="0">
                  <c:v>6455.8</c:v>
                </c:pt>
                <c:pt idx="1">
                  <c:v>5949.82</c:v>
                </c:pt>
                <c:pt idx="2">
                  <c:v>10794.65</c:v>
                </c:pt>
                <c:pt idx="3">
                  <c:v>6120.72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11-41DD-9CA9-42CA9DA3D5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39652144"/>
        <c:axId val="639657064"/>
        <c:axId val="633915040"/>
      </c:bar3DChart>
      <c:catAx>
        <c:axId val="6396521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BE"/>
                  <a:t>Trimestres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39657064"/>
        <c:crosses val="autoZero"/>
        <c:auto val="1"/>
        <c:lblAlgn val="ctr"/>
        <c:lblOffset val="100"/>
        <c:noMultiLvlLbl val="0"/>
      </c:catAx>
      <c:valAx>
        <c:axId val="639657064"/>
        <c:scaling>
          <c:orientation val="minMax"/>
          <c:max val="12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BE" sz="1000" b="0" i="0" u="none" strike="noStrike" baseline="0">
                    <a:effectLst/>
                  </a:rPr>
                  <a:t>Chiffre d'Affaires (€)</a:t>
                </a:r>
                <a:endParaRPr lang="fr-BE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#,##0.0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39652144"/>
        <c:crosses val="autoZero"/>
        <c:crossBetween val="between"/>
        <c:majorUnit val="3000"/>
        <c:minorUnit val="1000"/>
      </c:valAx>
      <c:serAx>
        <c:axId val="633915040"/>
        <c:scaling>
          <c:orientation val="minMax"/>
        </c:scaling>
        <c:delete val="1"/>
        <c:axPos val="b"/>
        <c:majorTickMark val="none"/>
        <c:minorTickMark val="none"/>
        <c:tickLblPos val="nextTo"/>
        <c:crossAx val="639657064"/>
        <c:crosses val="autoZero"/>
      </c:serAx>
      <c:spPr>
        <a:noFill/>
        <a:ln>
          <a:noFill/>
        </a:ln>
        <a:effectLst/>
      </c:spPr>
    </c:plotArea>
    <c:legend>
      <c:legendPos val="b"/>
      <c:layout/>
      <c:overlay val="0"/>
      <c:spPr>
        <a:solidFill>
          <a:srgbClr val="92D050">
            <a:alpha val="20000"/>
          </a:srgbClr>
        </a:solidFill>
        <a:ln>
          <a:solidFill>
            <a:sysClr val="windowText" lastClr="000000">
              <a:lumMod val="25000"/>
              <a:lumOff val="75000"/>
            </a:sys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BE"/>
              <a:t>Répartition des ventes par produit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view3D>
      <c:rotX val="50"/>
      <c:rotY val="119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306-4CE1-9C50-86A93C9DDE3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306-4CE1-9C50-86A93C9DDE31}"/>
              </c:ext>
            </c:extLst>
          </c:dPt>
          <c:dPt>
            <c:idx val="2"/>
            <c:bubble3D val="0"/>
            <c:explosion val="65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2-AE5B-4B46-A76D-EB0A4CCE889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AE5B-4B46-A76D-EB0A4CCE889F}"/>
              </c:ext>
            </c:extLst>
          </c:dPt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Exercice5!$A$4:$A$7</c:f>
              <c:strCache>
                <c:ptCount val="4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</c:strCache>
            </c:strRef>
          </c:cat>
          <c:val>
            <c:numRef>
              <c:f>Exercice5!$B$4:$B$7</c:f>
              <c:numCache>
                <c:formatCode>0</c:formatCode>
                <c:ptCount val="4"/>
                <c:pt idx="0">
                  <c:v>28</c:v>
                </c:pt>
                <c:pt idx="1">
                  <c:v>22</c:v>
                </c:pt>
                <c:pt idx="2">
                  <c:v>45</c:v>
                </c:pt>
                <c:pt idx="3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5B-4B46-A76D-EB0A4CCE889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legend>
      <c:legendPos val="b"/>
      <c:layout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BE" sz="1400" b="0" i="0" u="none" strike="noStrike" baseline="0">
                <a:effectLst/>
              </a:rPr>
              <a:t>Chiffre d'Affaires 2024 par Trimestre</a:t>
            </a:r>
            <a:endParaRPr lang="fr-BE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layout/>
                <c15:showLeaderLines val="0"/>
              </c:ext>
            </c:extLst>
          </c:dLbls>
          <c:val>
            <c:numRef>
              <c:f>Exercice6!$C$4:$C$7</c:f>
              <c:numCache>
                <c:formatCode>#,##0.00\ "€"</c:formatCode>
                <c:ptCount val="4"/>
                <c:pt idx="0">
                  <c:v>6455.8</c:v>
                </c:pt>
                <c:pt idx="1">
                  <c:v>5949.82</c:v>
                </c:pt>
                <c:pt idx="2">
                  <c:v>10794.65</c:v>
                </c:pt>
                <c:pt idx="3">
                  <c:v>6120.72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8D-47A8-BFBA-0022DF2B74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39652144"/>
        <c:axId val="639657064"/>
        <c:axId val="633915040"/>
      </c:bar3DChart>
      <c:catAx>
        <c:axId val="6396521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BE"/>
                  <a:t>Trimestres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39657064"/>
        <c:crosses val="autoZero"/>
        <c:auto val="1"/>
        <c:lblAlgn val="ctr"/>
        <c:lblOffset val="100"/>
        <c:noMultiLvlLbl val="0"/>
      </c:catAx>
      <c:valAx>
        <c:axId val="639657064"/>
        <c:scaling>
          <c:orientation val="minMax"/>
          <c:max val="12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BE" sz="1000" b="0" i="0" u="none" strike="noStrike" baseline="0">
                    <a:effectLst/>
                  </a:rPr>
                  <a:t>Chiffre d'Affaires (€)</a:t>
                </a:r>
                <a:endParaRPr lang="fr-BE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#,##0.0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39652144"/>
        <c:crosses val="autoZero"/>
        <c:crossBetween val="between"/>
        <c:majorUnit val="3000"/>
        <c:minorUnit val="1000"/>
      </c:valAx>
      <c:serAx>
        <c:axId val="633915040"/>
        <c:scaling>
          <c:orientation val="minMax"/>
        </c:scaling>
        <c:delete val="1"/>
        <c:axPos val="b"/>
        <c:majorTickMark val="none"/>
        <c:minorTickMark val="none"/>
        <c:tickLblPos val="nextTo"/>
        <c:crossAx val="639657064"/>
        <c:crosses val="autoZero"/>
      </c:serAx>
      <c:spPr>
        <a:noFill/>
        <a:ln>
          <a:noFill/>
        </a:ln>
        <a:effectLst/>
      </c:spPr>
    </c:plotArea>
    <c:legend>
      <c:legendPos val="b"/>
      <c:layout/>
      <c:overlay val="0"/>
      <c:spPr>
        <a:solidFill>
          <a:srgbClr val="92D050">
            <a:alpha val="20000"/>
          </a:srgbClr>
        </a:solidFill>
        <a:ln>
          <a:solidFill>
            <a:sysClr val="windowText" lastClr="000000">
              <a:lumMod val="25000"/>
              <a:lumOff val="75000"/>
            </a:sys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BE"/>
              <a:t>Répartition des ventes par produit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view3D>
      <c:rotX val="50"/>
      <c:rotY val="119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D015-46B0-A9EF-0EFC5904B24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D015-46B0-A9EF-0EFC5904B246}"/>
              </c:ext>
            </c:extLst>
          </c:dPt>
          <c:dPt>
            <c:idx val="2"/>
            <c:bubble3D val="0"/>
            <c:explosion val="65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D015-46B0-A9EF-0EFC5904B24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7-D015-46B0-A9EF-0EFC5904B246}"/>
              </c:ext>
            </c:extLst>
          </c:dPt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Exercice6!$A$4:$A$7</c:f>
              <c:strCache>
                <c:ptCount val="4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</c:strCache>
            </c:strRef>
          </c:cat>
          <c:val>
            <c:numRef>
              <c:f>Exercice6!$B$4:$B$7</c:f>
              <c:numCache>
                <c:formatCode>0</c:formatCode>
                <c:ptCount val="4"/>
                <c:pt idx="0">
                  <c:v>28</c:v>
                </c:pt>
                <c:pt idx="1">
                  <c:v>22</c:v>
                </c:pt>
                <c:pt idx="2">
                  <c:v>45</c:v>
                </c:pt>
                <c:pt idx="3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015-46B0-A9EF-0EFC5904B24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legend>
      <c:legendPos val="b"/>
      <c:layout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95249</xdr:colOff>
      <xdr:row>8</xdr:row>
      <xdr:rowOff>171449</xdr:rowOff>
    </xdr:from>
    <xdr:to>
      <xdr:col>9</xdr:col>
      <xdr:colOff>0</xdr:colOff>
      <xdr:row>35</xdr:row>
      <xdr:rowOff>180975</xdr:rowOff>
    </xdr:to>
    <xdr:graphicFrame macro="">
      <xdr:nvGraphicFramePr>
        <xdr:cNvPr id="2" name="Graphiqu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23812</xdr:colOff>
      <xdr:row>8</xdr:row>
      <xdr:rowOff>161924</xdr:rowOff>
    </xdr:from>
    <xdr:to>
      <xdr:col>18</xdr:col>
      <xdr:colOff>76200</xdr:colOff>
      <xdr:row>35</xdr:row>
      <xdr:rowOff>190499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17</xdr:col>
      <xdr:colOff>266700</xdr:colOff>
      <xdr:row>8</xdr:row>
      <xdr:rowOff>142875</xdr:rowOff>
    </xdr:from>
    <xdr:ext cx="599203" cy="264560"/>
    <xdr:sp macro="" textlink="">
      <xdr:nvSpPr>
        <xdr:cNvPr id="5" name="ZoneTexte 4"/>
        <xdr:cNvSpPr txBox="1"/>
      </xdr:nvSpPr>
      <xdr:spPr>
        <a:xfrm>
          <a:off x="13925550" y="1685925"/>
          <a:ext cx="59920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BE" sz="1100"/>
            <a:t>Vue 3D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8</xdr:row>
      <xdr:rowOff>171449</xdr:rowOff>
    </xdr:from>
    <xdr:to>
      <xdr:col>4</xdr:col>
      <xdr:colOff>752476</xdr:colOff>
      <xdr:row>24</xdr:row>
      <xdr:rowOff>161925</xdr:rowOff>
    </xdr:to>
    <xdr:graphicFrame macro="">
      <xdr:nvGraphicFramePr>
        <xdr:cNvPr id="2" name="Graphique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23812</xdr:colOff>
      <xdr:row>7</xdr:row>
      <xdr:rowOff>180974</xdr:rowOff>
    </xdr:from>
    <xdr:to>
      <xdr:col>10</xdr:col>
      <xdr:colOff>438150</xdr:colOff>
      <xdr:row>24</xdr:row>
      <xdr:rowOff>180975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9</xdr:col>
      <xdr:colOff>533400</xdr:colOff>
      <xdr:row>10</xdr:row>
      <xdr:rowOff>66675</xdr:rowOff>
    </xdr:from>
    <xdr:ext cx="599203" cy="264560"/>
    <xdr:sp macro="" textlink="">
      <xdr:nvSpPr>
        <xdr:cNvPr id="4" name="ZoneTexte 3"/>
        <xdr:cNvSpPr txBox="1"/>
      </xdr:nvSpPr>
      <xdr:spPr>
        <a:xfrm>
          <a:off x="8096250" y="1990725"/>
          <a:ext cx="59920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BE" sz="1100"/>
            <a:t>Vue 3D</a:t>
          </a:r>
        </a:p>
      </xdr:txBody>
    </xdr:sp>
    <xdr:clientData/>
  </xdr:oneCellAnchor>
  <xdr:twoCellAnchor editAs="oneCell">
    <xdr:from>
      <xdr:col>11</xdr:col>
      <xdr:colOff>0</xdr:colOff>
      <xdr:row>0</xdr:row>
      <xdr:rowOff>0</xdr:rowOff>
    </xdr:from>
    <xdr:to>
      <xdr:col>25</xdr:col>
      <xdr:colOff>49121</xdr:colOff>
      <xdr:row>39</xdr:row>
      <xdr:rowOff>115356</xdr:rowOff>
    </xdr:to>
    <xdr:pic>
      <xdr:nvPicPr>
        <xdr:cNvPr id="5" name="Image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086850" y="0"/>
          <a:ext cx="10717121" cy="75639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>
      <selection activeCell="D16" sqref="D16"/>
    </sheetView>
  </sheetViews>
  <sheetFormatPr baseColWidth="10" defaultColWidth="9.140625" defaultRowHeight="15" x14ac:dyDescent="0.25"/>
  <cols>
    <col min="1" max="1" width="15.5703125" bestFit="1" customWidth="1"/>
  </cols>
  <sheetData>
    <row r="1" spans="1:4" x14ac:dyDescent="0.25">
      <c r="A1" t="s">
        <v>0</v>
      </c>
    </row>
    <row r="3" spans="1:4" x14ac:dyDescent="0.25">
      <c r="A3" t="s">
        <v>1</v>
      </c>
      <c r="B3" t="s">
        <v>2</v>
      </c>
      <c r="C3" t="s">
        <v>3</v>
      </c>
      <c r="D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selection sqref="A1:E1"/>
    </sheetView>
  </sheetViews>
  <sheetFormatPr baseColWidth="10" defaultRowHeight="15" x14ac:dyDescent="0.25"/>
  <cols>
    <col min="1" max="1" width="11.42578125" style="2"/>
    <col min="3" max="3" width="11.42578125" style="3"/>
    <col min="4" max="5" width="11.42578125" style="4"/>
  </cols>
  <sheetData>
    <row r="1" spans="1:5" ht="23.25" x14ac:dyDescent="0.35">
      <c r="A1" s="59" t="s">
        <v>5</v>
      </c>
      <c r="B1" s="59"/>
      <c r="C1" s="59"/>
      <c r="D1" s="59"/>
      <c r="E1" s="59"/>
    </row>
    <row r="2" spans="1:5" ht="15.75" thickBot="1" x14ac:dyDescent="0.3"/>
    <row r="3" spans="1:5" x14ac:dyDescent="0.25">
      <c r="A3" s="10" t="s">
        <v>1</v>
      </c>
      <c r="B3" s="11" t="s">
        <v>2</v>
      </c>
      <c r="C3" s="12" t="s">
        <v>3</v>
      </c>
      <c r="D3" s="13" t="s">
        <v>4</v>
      </c>
      <c r="E3" s="14" t="s">
        <v>6</v>
      </c>
    </row>
    <row r="4" spans="1:5" x14ac:dyDescent="0.25">
      <c r="A4" s="15">
        <v>45306</v>
      </c>
      <c r="B4" s="7" t="s">
        <v>7</v>
      </c>
      <c r="C4" s="8">
        <v>5</v>
      </c>
      <c r="D4" s="9">
        <v>999.99</v>
      </c>
      <c r="E4" s="16"/>
    </row>
    <row r="5" spans="1:5" x14ac:dyDescent="0.25">
      <c r="A5" s="18">
        <v>45306</v>
      </c>
      <c r="B5" s="19" t="s">
        <v>8</v>
      </c>
      <c r="C5" s="20">
        <v>12</v>
      </c>
      <c r="D5" s="21">
        <v>25.99</v>
      </c>
      <c r="E5" s="22"/>
    </row>
    <row r="6" spans="1:5" x14ac:dyDescent="0.25">
      <c r="A6" s="15">
        <v>45307</v>
      </c>
      <c r="B6" s="7" t="s">
        <v>9</v>
      </c>
      <c r="C6" s="8">
        <v>8</v>
      </c>
      <c r="D6" s="9">
        <v>45.5</v>
      </c>
      <c r="E6" s="16"/>
    </row>
    <row r="7" spans="1:5" ht="15.75" thickBot="1" x14ac:dyDescent="0.3">
      <c r="A7" s="23">
        <v>45307</v>
      </c>
      <c r="B7" s="24" t="s">
        <v>10</v>
      </c>
      <c r="C7" s="25">
        <v>3</v>
      </c>
      <c r="D7" s="26">
        <v>259.99</v>
      </c>
      <c r="E7" s="27"/>
    </row>
  </sheetData>
  <mergeCells count="1">
    <mergeCell ref="A1:E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"/>
  <sheetViews>
    <sheetView workbookViewId="0">
      <selection activeCell="P6" sqref="P6"/>
    </sheetView>
  </sheetViews>
  <sheetFormatPr baseColWidth="10" defaultRowHeight="15" x14ac:dyDescent="0.25"/>
  <cols>
    <col min="1" max="1" width="11.42578125" style="2"/>
    <col min="3" max="3" width="11.42578125" style="3"/>
    <col min="4" max="5" width="11.42578125" style="4"/>
  </cols>
  <sheetData>
    <row r="1" spans="1:14" ht="23.25" x14ac:dyDescent="0.35">
      <c r="A1" s="59" t="s">
        <v>5</v>
      </c>
      <c r="B1" s="59"/>
      <c r="C1" s="59"/>
      <c r="D1" s="59"/>
      <c r="E1" s="59"/>
    </row>
    <row r="2" spans="1:14" ht="15.75" thickBot="1" x14ac:dyDescent="0.3">
      <c r="G2" t="s">
        <v>15</v>
      </c>
    </row>
    <row r="3" spans="1:14" x14ac:dyDescent="0.25">
      <c r="A3" s="10" t="s">
        <v>1</v>
      </c>
      <c r="B3" s="11" t="s">
        <v>2</v>
      </c>
      <c r="C3" s="12" t="s">
        <v>3</v>
      </c>
      <c r="D3" s="13" t="s">
        <v>4</v>
      </c>
      <c r="E3" s="14" t="s">
        <v>6</v>
      </c>
      <c r="G3" t="s">
        <v>17</v>
      </c>
      <c r="H3" t="s">
        <v>16</v>
      </c>
      <c r="I3" t="s">
        <v>18</v>
      </c>
      <c r="J3" t="s">
        <v>19</v>
      </c>
      <c r="K3" s="5"/>
      <c r="L3" s="58" t="s">
        <v>36</v>
      </c>
      <c r="N3" t="s">
        <v>36</v>
      </c>
    </row>
    <row r="4" spans="1:14" x14ac:dyDescent="0.25">
      <c r="A4" s="15">
        <v>45306</v>
      </c>
      <c r="B4" s="7" t="s">
        <v>7</v>
      </c>
      <c r="C4" s="8">
        <v>5</v>
      </c>
      <c r="D4" s="9">
        <v>999.99</v>
      </c>
      <c r="E4" s="16">
        <f>C4*D4</f>
        <v>4999.95</v>
      </c>
      <c r="G4" s="6">
        <v>45306</v>
      </c>
      <c r="H4" s="6">
        <v>45306</v>
      </c>
      <c r="I4" s="32">
        <v>45306</v>
      </c>
      <c r="J4" s="6">
        <v>45306</v>
      </c>
      <c r="K4" s="28"/>
      <c r="L4" t="s">
        <v>28</v>
      </c>
      <c r="N4">
        <v>0</v>
      </c>
    </row>
    <row r="5" spans="1:14" x14ac:dyDescent="0.25">
      <c r="A5" s="18">
        <v>45306</v>
      </c>
      <c r="B5" s="19" t="s">
        <v>8</v>
      </c>
      <c r="C5" s="20">
        <v>12</v>
      </c>
      <c r="D5" s="21">
        <v>25.99</v>
      </c>
      <c r="E5" s="16">
        <f t="shared" ref="E5:E7" si="0">C5*D5</f>
        <v>311.88</v>
      </c>
      <c r="G5" s="6">
        <v>45307</v>
      </c>
      <c r="H5" s="6">
        <v>45337</v>
      </c>
      <c r="I5" s="32">
        <v>45672</v>
      </c>
      <c r="J5" s="6">
        <v>45307</v>
      </c>
      <c r="K5" s="28"/>
      <c r="L5" t="s">
        <v>29</v>
      </c>
      <c r="N5">
        <v>5</v>
      </c>
    </row>
    <row r="6" spans="1:14" x14ac:dyDescent="0.25">
      <c r="A6" s="15">
        <v>45307</v>
      </c>
      <c r="B6" s="7" t="s">
        <v>9</v>
      </c>
      <c r="C6" s="8">
        <v>8</v>
      </c>
      <c r="D6" s="9">
        <v>45.5</v>
      </c>
      <c r="E6" s="16">
        <f t="shared" si="0"/>
        <v>364</v>
      </c>
      <c r="G6" s="6">
        <v>45308</v>
      </c>
      <c r="H6" s="6">
        <v>45366</v>
      </c>
      <c r="I6" s="32">
        <v>46037</v>
      </c>
      <c r="J6" s="6">
        <v>45308</v>
      </c>
      <c r="K6" s="28"/>
      <c r="L6" t="s">
        <v>30</v>
      </c>
      <c r="N6">
        <v>10</v>
      </c>
    </row>
    <row r="7" spans="1:14" ht="15.75" thickBot="1" x14ac:dyDescent="0.3">
      <c r="A7" s="23">
        <v>45307</v>
      </c>
      <c r="B7" s="24" t="s">
        <v>10</v>
      </c>
      <c r="C7" s="25">
        <v>3</v>
      </c>
      <c r="D7" s="26">
        <v>259.99</v>
      </c>
      <c r="E7" s="17">
        <f t="shared" si="0"/>
        <v>779.97</v>
      </c>
      <c r="G7" s="6">
        <v>45309</v>
      </c>
      <c r="H7" s="6">
        <v>45397</v>
      </c>
      <c r="I7" s="32">
        <v>46402</v>
      </c>
      <c r="J7" s="6">
        <v>45309</v>
      </c>
      <c r="K7" s="28"/>
      <c r="L7" t="s">
        <v>31</v>
      </c>
      <c r="N7">
        <v>15</v>
      </c>
    </row>
    <row r="8" spans="1:14" x14ac:dyDescent="0.25">
      <c r="A8" s="2" t="s">
        <v>11</v>
      </c>
      <c r="C8" s="3">
        <f>SUM(C4:C7)</f>
        <v>28</v>
      </c>
      <c r="D8" s="4">
        <f t="shared" ref="D8:E8" si="1">SUM(D4:D7)</f>
        <v>1331.47</v>
      </c>
      <c r="E8" s="4">
        <f t="shared" si="1"/>
        <v>6455.8</v>
      </c>
      <c r="G8" s="29"/>
      <c r="H8" s="5"/>
      <c r="I8" s="5"/>
      <c r="J8" s="6">
        <v>45310</v>
      </c>
      <c r="K8" s="5"/>
      <c r="L8" t="s">
        <v>32</v>
      </c>
      <c r="N8">
        <v>20</v>
      </c>
    </row>
    <row r="9" spans="1:14" x14ac:dyDescent="0.25">
      <c r="G9" s="29"/>
      <c r="H9" s="5"/>
      <c r="I9" s="5"/>
      <c r="J9" s="6">
        <v>45313</v>
      </c>
      <c r="K9" s="5"/>
      <c r="L9" t="s">
        <v>33</v>
      </c>
      <c r="N9">
        <v>25</v>
      </c>
    </row>
    <row r="10" spans="1:14" x14ac:dyDescent="0.25">
      <c r="A10" s="2" t="s">
        <v>12</v>
      </c>
      <c r="D10" s="4">
        <f>AVERAGE(D4:D7)</f>
        <v>332.86750000000001</v>
      </c>
      <c r="G10" s="29"/>
      <c r="H10" s="5"/>
      <c r="I10" s="5"/>
      <c r="J10" s="6">
        <v>45314</v>
      </c>
      <c r="K10" s="5"/>
      <c r="L10" t="s">
        <v>34</v>
      </c>
      <c r="N10">
        <v>30</v>
      </c>
    </row>
    <row r="11" spans="1:14" x14ac:dyDescent="0.25">
      <c r="A11" s="2" t="s">
        <v>13</v>
      </c>
      <c r="D11" s="4">
        <f>MIN(D4:D7)</f>
        <v>25.99</v>
      </c>
      <c r="G11" s="29"/>
      <c r="H11" s="5"/>
      <c r="I11" s="5"/>
      <c r="J11" s="6">
        <v>45315</v>
      </c>
      <c r="K11" s="5"/>
      <c r="L11" t="s">
        <v>35</v>
      </c>
      <c r="N11">
        <v>35</v>
      </c>
    </row>
    <row r="12" spans="1:14" x14ac:dyDescent="0.25">
      <c r="A12" s="2" t="s">
        <v>14</v>
      </c>
      <c r="D12" s="4">
        <f>MAX(D4:D7)</f>
        <v>999.99</v>
      </c>
      <c r="G12" s="29"/>
      <c r="H12" s="5"/>
      <c r="I12" s="5"/>
      <c r="J12" s="6">
        <v>45316</v>
      </c>
      <c r="K12" s="5"/>
      <c r="N12">
        <v>40</v>
      </c>
    </row>
    <row r="13" spans="1:14" x14ac:dyDescent="0.25">
      <c r="G13" s="29"/>
      <c r="H13" s="5"/>
      <c r="I13" s="5"/>
      <c r="J13" s="6">
        <v>45317</v>
      </c>
      <c r="K13" s="5"/>
    </row>
    <row r="14" spans="1:14" ht="15.75" thickBot="1" x14ac:dyDescent="0.3">
      <c r="G14" s="30"/>
      <c r="H14" s="31"/>
      <c r="I14" s="31"/>
      <c r="J14" s="6">
        <v>45320</v>
      </c>
      <c r="K14" s="5"/>
    </row>
    <row r="15" spans="1:14" x14ac:dyDescent="0.25">
      <c r="F15" s="5"/>
      <c r="G15" s="5"/>
      <c r="H15" s="5"/>
      <c r="I15" s="5"/>
      <c r="J15" s="5"/>
      <c r="K15" s="28"/>
    </row>
    <row r="16" spans="1:14" x14ac:dyDescent="0.25">
      <c r="F16" s="5"/>
      <c r="G16" s="5"/>
      <c r="H16" s="5"/>
      <c r="I16" s="5"/>
      <c r="J16" s="5"/>
      <c r="K16" s="5"/>
    </row>
    <row r="17" spans="6:10" x14ac:dyDescent="0.25">
      <c r="F17" s="5"/>
      <c r="G17" s="5"/>
      <c r="H17" s="5"/>
      <c r="I17" s="5"/>
      <c r="J17" s="5"/>
    </row>
    <row r="18" spans="6:10" x14ac:dyDescent="0.25">
      <c r="F18" s="5"/>
      <c r="G18" s="5"/>
      <c r="H18" s="5"/>
      <c r="I18" s="5"/>
      <c r="J18" s="5"/>
    </row>
  </sheetData>
  <mergeCells count="1">
    <mergeCell ref="A1:E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L17"/>
  <sheetViews>
    <sheetView workbookViewId="0">
      <selection activeCell="D26" sqref="D26"/>
    </sheetView>
  </sheetViews>
  <sheetFormatPr baseColWidth="10" defaultRowHeight="15" x14ac:dyDescent="0.25"/>
  <sheetData>
    <row r="1" spans="1:12" ht="23.25" x14ac:dyDescent="0.35">
      <c r="A1" s="59" t="s">
        <v>5</v>
      </c>
      <c r="B1" s="59"/>
      <c r="C1" s="59"/>
      <c r="D1" s="59"/>
      <c r="E1" s="59"/>
      <c r="G1" s="5"/>
      <c r="H1" s="5"/>
      <c r="I1" s="5"/>
      <c r="J1" s="5"/>
      <c r="K1" s="5"/>
      <c r="L1" s="5"/>
    </row>
    <row r="2" spans="1:12" ht="15.75" thickBot="1" x14ac:dyDescent="0.3">
      <c r="A2" s="2"/>
      <c r="C2" s="3"/>
      <c r="D2" s="4"/>
      <c r="E2" s="4"/>
      <c r="G2" s="5"/>
      <c r="H2" s="5"/>
      <c r="I2" s="5"/>
      <c r="J2" s="5"/>
      <c r="K2" s="5"/>
      <c r="L2" s="5"/>
    </row>
    <row r="3" spans="1:12" x14ac:dyDescent="0.25">
      <c r="A3" s="10" t="s">
        <v>1</v>
      </c>
      <c r="B3" s="11" t="s">
        <v>2</v>
      </c>
      <c r="C3" s="12" t="s">
        <v>3</v>
      </c>
      <c r="D3" s="13" t="s">
        <v>4</v>
      </c>
      <c r="E3" s="14" t="s">
        <v>6</v>
      </c>
      <c r="G3" s="5"/>
      <c r="H3" s="5"/>
      <c r="I3" s="5"/>
      <c r="J3" s="5"/>
      <c r="K3" s="5"/>
      <c r="L3" s="5"/>
    </row>
    <row r="4" spans="1:12" x14ac:dyDescent="0.25">
      <c r="A4" s="15">
        <v>45306</v>
      </c>
      <c r="B4" s="7" t="s">
        <v>7</v>
      </c>
      <c r="C4" s="8">
        <v>5</v>
      </c>
      <c r="D4" s="9">
        <v>999.99</v>
      </c>
      <c r="E4" s="16">
        <f>C4*D4</f>
        <v>4999.95</v>
      </c>
      <c r="G4" s="28"/>
      <c r="H4" s="28"/>
      <c r="I4" s="28"/>
      <c r="J4" s="28"/>
      <c r="K4" s="5"/>
      <c r="L4" s="5"/>
    </row>
    <row r="5" spans="1:12" x14ac:dyDescent="0.25">
      <c r="A5" s="18">
        <v>45306</v>
      </c>
      <c r="B5" s="19" t="s">
        <v>8</v>
      </c>
      <c r="C5" s="20">
        <v>12</v>
      </c>
      <c r="D5" s="21">
        <v>25.99</v>
      </c>
      <c r="E5" s="16">
        <f t="shared" ref="E5:E7" si="0">C5*D5</f>
        <v>311.88</v>
      </c>
      <c r="G5" s="28"/>
      <c r="H5" s="28"/>
      <c r="I5" s="28"/>
      <c r="J5" s="28"/>
      <c r="K5" s="5"/>
      <c r="L5" s="5"/>
    </row>
    <row r="6" spans="1:12" x14ac:dyDescent="0.25">
      <c r="A6" s="15">
        <v>45307</v>
      </c>
      <c r="B6" s="7" t="s">
        <v>9</v>
      </c>
      <c r="C6" s="8">
        <v>8</v>
      </c>
      <c r="D6" s="9">
        <v>45.5</v>
      </c>
      <c r="E6" s="16">
        <f t="shared" si="0"/>
        <v>364</v>
      </c>
      <c r="G6" s="28"/>
      <c r="H6" s="28"/>
      <c r="I6" s="28"/>
      <c r="J6" s="28"/>
      <c r="K6" s="5"/>
      <c r="L6" s="5"/>
    </row>
    <row r="7" spans="1:12" ht="15.75" thickBot="1" x14ac:dyDescent="0.3">
      <c r="A7" s="23">
        <v>45307</v>
      </c>
      <c r="B7" s="24" t="s">
        <v>10</v>
      </c>
      <c r="C7" s="25">
        <v>3</v>
      </c>
      <c r="D7" s="26">
        <v>259.99</v>
      </c>
      <c r="E7" s="17">
        <f t="shared" si="0"/>
        <v>779.97</v>
      </c>
      <c r="G7" s="28"/>
      <c r="H7" s="28"/>
      <c r="I7" s="28"/>
      <c r="J7" s="28"/>
      <c r="K7" s="5"/>
      <c r="L7" s="5"/>
    </row>
    <row r="8" spans="1:12" x14ac:dyDescent="0.25">
      <c r="A8" s="2" t="s">
        <v>11</v>
      </c>
      <c r="C8" s="3">
        <f>SUM(C4:C7)</f>
        <v>28</v>
      </c>
      <c r="D8" s="4">
        <f t="shared" ref="D8:E8" si="1">SUM(D4:D7)</f>
        <v>1331.47</v>
      </c>
      <c r="E8" s="4">
        <f t="shared" si="1"/>
        <v>6455.8</v>
      </c>
      <c r="G8" s="5"/>
      <c r="H8" s="5"/>
      <c r="I8" s="5"/>
      <c r="J8" s="28"/>
      <c r="K8" s="5"/>
      <c r="L8" s="5"/>
    </row>
    <row r="9" spans="1:12" x14ac:dyDescent="0.25">
      <c r="A9" s="2"/>
      <c r="C9" s="3"/>
      <c r="D9" s="4"/>
      <c r="E9" s="4"/>
      <c r="G9" s="5"/>
      <c r="H9" s="5"/>
      <c r="I9" s="5"/>
      <c r="J9" s="28"/>
      <c r="K9" s="5"/>
      <c r="L9" s="5"/>
    </row>
    <row r="10" spans="1:12" x14ac:dyDescent="0.25">
      <c r="A10" s="2" t="s">
        <v>12</v>
      </c>
      <c r="C10" s="3"/>
      <c r="D10" s="4">
        <f>AVERAGE(D4:D7)</f>
        <v>332.86750000000001</v>
      </c>
      <c r="E10" s="4"/>
      <c r="G10" s="5"/>
      <c r="H10" s="5"/>
      <c r="I10" s="5"/>
      <c r="J10" s="28"/>
      <c r="K10" s="5"/>
      <c r="L10" s="5"/>
    </row>
    <row r="11" spans="1:12" x14ac:dyDescent="0.25">
      <c r="A11" s="2" t="s">
        <v>13</v>
      </c>
      <c r="C11" s="3"/>
      <c r="D11" s="4">
        <f>MIN(D4:D7)</f>
        <v>25.99</v>
      </c>
      <c r="E11" s="4"/>
      <c r="G11" s="5"/>
      <c r="H11" s="5"/>
      <c r="I11" s="5"/>
      <c r="J11" s="28"/>
      <c r="K11" s="5"/>
      <c r="L11" s="5"/>
    </row>
    <row r="12" spans="1:12" x14ac:dyDescent="0.25">
      <c r="A12" s="2" t="s">
        <v>14</v>
      </c>
      <c r="C12" s="3"/>
      <c r="D12" s="4">
        <f>MAX(D4:D7)</f>
        <v>999.99</v>
      </c>
      <c r="E12" s="4"/>
      <c r="G12" s="5"/>
      <c r="H12" s="5"/>
      <c r="I12" s="5"/>
      <c r="J12" s="28"/>
      <c r="K12" s="5"/>
      <c r="L12" s="5"/>
    </row>
    <row r="13" spans="1:12" x14ac:dyDescent="0.25">
      <c r="A13" s="2"/>
      <c r="C13" s="3"/>
      <c r="D13" s="4"/>
      <c r="E13" s="4"/>
      <c r="G13" s="5"/>
      <c r="H13" s="5"/>
      <c r="I13" s="5"/>
      <c r="J13" s="28"/>
      <c r="K13" s="5"/>
      <c r="L13" s="5"/>
    </row>
    <row r="14" spans="1:12" x14ac:dyDescent="0.25">
      <c r="A14" s="2"/>
      <c r="C14" s="3"/>
      <c r="D14" s="4"/>
      <c r="E14" s="4"/>
      <c r="G14" s="5"/>
      <c r="H14" s="5"/>
      <c r="I14" s="5"/>
      <c r="J14" s="28"/>
      <c r="K14" s="5"/>
      <c r="L14" s="5"/>
    </row>
    <row r="15" spans="1:12" x14ac:dyDescent="0.25">
      <c r="G15" s="5"/>
      <c r="H15" s="5"/>
      <c r="I15" s="5"/>
      <c r="J15" s="5"/>
      <c r="K15" s="5"/>
      <c r="L15" s="5"/>
    </row>
    <row r="16" spans="1:12" x14ac:dyDescent="0.25">
      <c r="G16" s="5"/>
      <c r="H16" s="5"/>
      <c r="I16" s="5"/>
      <c r="J16" s="5"/>
      <c r="K16" s="5"/>
      <c r="L16" s="5"/>
    </row>
    <row r="17" spans="7:12" x14ac:dyDescent="0.25">
      <c r="G17" s="5"/>
      <c r="H17" s="5"/>
      <c r="I17" s="5"/>
      <c r="J17" s="5"/>
      <c r="K17" s="5"/>
      <c r="L17" s="5"/>
    </row>
  </sheetData>
  <mergeCells count="1">
    <mergeCell ref="A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12"/>
  <sheetViews>
    <sheetView workbookViewId="0">
      <selection activeCell="C16" sqref="C16"/>
    </sheetView>
  </sheetViews>
  <sheetFormatPr baseColWidth="10" defaultRowHeight="15" x14ac:dyDescent="0.25"/>
  <sheetData>
    <row r="1" spans="1:5" ht="23.25" x14ac:dyDescent="0.35">
      <c r="A1" s="59" t="s">
        <v>5</v>
      </c>
      <c r="B1" s="59"/>
      <c r="C1" s="59"/>
      <c r="D1" s="59"/>
      <c r="E1" s="59"/>
    </row>
    <row r="2" spans="1:5" ht="15.75" thickBot="1" x14ac:dyDescent="0.3">
      <c r="A2" s="2"/>
      <c r="C2" s="3"/>
      <c r="D2" s="4"/>
      <c r="E2" s="4"/>
    </row>
    <row r="3" spans="1:5" x14ac:dyDescent="0.25">
      <c r="A3" s="10" t="s">
        <v>1</v>
      </c>
      <c r="B3" s="11" t="s">
        <v>2</v>
      </c>
      <c r="C3" s="12" t="s">
        <v>3</v>
      </c>
      <c r="D3" s="13" t="s">
        <v>4</v>
      </c>
      <c r="E3" s="14" t="s">
        <v>6</v>
      </c>
    </row>
    <row r="4" spans="1:5" x14ac:dyDescent="0.25">
      <c r="A4" s="15">
        <v>45397</v>
      </c>
      <c r="B4" s="7" t="s">
        <v>7</v>
      </c>
      <c r="C4" s="8">
        <v>4</v>
      </c>
      <c r="D4" s="9">
        <v>999.99</v>
      </c>
      <c r="E4" s="16">
        <f>C4*D4</f>
        <v>3999.96</v>
      </c>
    </row>
    <row r="5" spans="1:5" x14ac:dyDescent="0.25">
      <c r="A5" s="18">
        <v>45397</v>
      </c>
      <c r="B5" s="19" t="s">
        <v>8</v>
      </c>
      <c r="C5" s="20">
        <v>8</v>
      </c>
      <c r="D5" s="21">
        <v>25.99</v>
      </c>
      <c r="E5" s="16">
        <f t="shared" ref="E5:E7" si="0">C5*D5</f>
        <v>207.92</v>
      </c>
    </row>
    <row r="6" spans="1:5" x14ac:dyDescent="0.25">
      <c r="A6" s="15">
        <v>45398</v>
      </c>
      <c r="B6" s="7" t="s">
        <v>9</v>
      </c>
      <c r="C6" s="8">
        <v>4</v>
      </c>
      <c r="D6" s="9">
        <v>45.5</v>
      </c>
      <c r="E6" s="16">
        <f t="shared" si="0"/>
        <v>182</v>
      </c>
    </row>
    <row r="7" spans="1:5" ht="15.75" thickBot="1" x14ac:dyDescent="0.3">
      <c r="A7" s="23">
        <v>45398</v>
      </c>
      <c r="B7" s="24" t="s">
        <v>10</v>
      </c>
      <c r="C7" s="25">
        <v>6</v>
      </c>
      <c r="D7" s="26">
        <v>259.99</v>
      </c>
      <c r="E7" s="17">
        <f t="shared" si="0"/>
        <v>1559.94</v>
      </c>
    </row>
    <row r="8" spans="1:5" x14ac:dyDescent="0.25">
      <c r="A8" s="2" t="s">
        <v>11</v>
      </c>
      <c r="C8" s="3">
        <f>SUM(C4:C7)</f>
        <v>22</v>
      </c>
      <c r="D8" s="4">
        <f t="shared" ref="D8:E8" si="1">SUM(D4:D7)</f>
        <v>1331.47</v>
      </c>
      <c r="E8" s="4">
        <f t="shared" si="1"/>
        <v>5949.82</v>
      </c>
    </row>
    <row r="9" spans="1:5" x14ac:dyDescent="0.25">
      <c r="A9" s="2"/>
      <c r="C9" s="3"/>
      <c r="D9" s="4"/>
      <c r="E9" s="4"/>
    </row>
    <row r="10" spans="1:5" x14ac:dyDescent="0.25">
      <c r="A10" s="2" t="s">
        <v>12</v>
      </c>
      <c r="C10" s="3"/>
      <c r="D10" s="4">
        <f>AVERAGE(D4:D7)</f>
        <v>332.86750000000001</v>
      </c>
      <c r="E10" s="4"/>
    </row>
    <row r="11" spans="1:5" x14ac:dyDescent="0.25">
      <c r="A11" s="2" t="s">
        <v>13</v>
      </c>
      <c r="C11" s="3"/>
      <c r="D11" s="4">
        <f>MIN(D4:D7)</f>
        <v>25.99</v>
      </c>
      <c r="E11" s="4"/>
    </row>
    <row r="12" spans="1:5" x14ac:dyDescent="0.25">
      <c r="A12" s="2" t="s">
        <v>14</v>
      </c>
      <c r="C12" s="3"/>
      <c r="D12" s="4">
        <f>MAX(D4:D7)</f>
        <v>999.99</v>
      </c>
      <c r="E12" s="4"/>
    </row>
  </sheetData>
  <mergeCells count="1">
    <mergeCell ref="A1:E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E12"/>
  <sheetViews>
    <sheetView workbookViewId="0">
      <selection activeCell="C7" sqref="C7"/>
    </sheetView>
  </sheetViews>
  <sheetFormatPr baseColWidth="10" defaultRowHeight="15" x14ac:dyDescent="0.25"/>
  <sheetData>
    <row r="1" spans="1:5" ht="23.25" x14ac:dyDescent="0.35">
      <c r="A1" s="59" t="s">
        <v>5</v>
      </c>
      <c r="B1" s="59"/>
      <c r="C1" s="59"/>
      <c r="D1" s="59"/>
      <c r="E1" s="59"/>
    </row>
    <row r="2" spans="1:5" ht="15.75" thickBot="1" x14ac:dyDescent="0.3">
      <c r="A2" s="2"/>
      <c r="C2" s="3"/>
      <c r="D2" s="4"/>
      <c r="E2" s="4"/>
    </row>
    <row r="3" spans="1:5" x14ac:dyDescent="0.25">
      <c r="A3" s="10" t="s">
        <v>1</v>
      </c>
      <c r="B3" s="11" t="s">
        <v>2</v>
      </c>
      <c r="C3" s="12" t="s">
        <v>3</v>
      </c>
      <c r="D3" s="13" t="s">
        <v>4</v>
      </c>
      <c r="E3" s="14" t="s">
        <v>6</v>
      </c>
    </row>
    <row r="4" spans="1:5" x14ac:dyDescent="0.25">
      <c r="A4" s="15">
        <v>45488</v>
      </c>
      <c r="B4" s="7" t="s">
        <v>7</v>
      </c>
      <c r="C4" s="8">
        <v>8</v>
      </c>
      <c r="D4" s="9">
        <v>999.99</v>
      </c>
      <c r="E4" s="16">
        <f>C4*D4</f>
        <v>7999.92</v>
      </c>
    </row>
    <row r="5" spans="1:5" x14ac:dyDescent="0.25">
      <c r="A5" s="18">
        <v>45488</v>
      </c>
      <c r="B5" s="19" t="s">
        <v>8</v>
      </c>
      <c r="C5" s="20">
        <v>20</v>
      </c>
      <c r="D5" s="21">
        <v>25.99</v>
      </c>
      <c r="E5" s="16">
        <f t="shared" ref="E5:E7" si="0">C5*D5</f>
        <v>519.79999999999995</v>
      </c>
    </row>
    <row r="6" spans="1:5" x14ac:dyDescent="0.25">
      <c r="A6" s="15">
        <v>45489</v>
      </c>
      <c r="B6" s="7" t="s">
        <v>9</v>
      </c>
      <c r="C6" s="8">
        <v>10</v>
      </c>
      <c r="D6" s="9">
        <v>45.5</v>
      </c>
      <c r="E6" s="16">
        <f t="shared" si="0"/>
        <v>455</v>
      </c>
    </row>
    <row r="7" spans="1:5" ht="15.75" thickBot="1" x14ac:dyDescent="0.3">
      <c r="A7" s="23">
        <v>45489</v>
      </c>
      <c r="B7" s="24" t="s">
        <v>10</v>
      </c>
      <c r="C7" s="25">
        <v>7</v>
      </c>
      <c r="D7" s="26">
        <v>259.99</v>
      </c>
      <c r="E7" s="17">
        <f t="shared" si="0"/>
        <v>1819.93</v>
      </c>
    </row>
    <row r="8" spans="1:5" x14ac:dyDescent="0.25">
      <c r="A8" s="2" t="s">
        <v>11</v>
      </c>
      <c r="C8" s="3">
        <f>SUM(C4:C7)</f>
        <v>45</v>
      </c>
      <c r="D8" s="4">
        <f t="shared" ref="D8:E8" si="1">SUM(D4:D7)</f>
        <v>1331.47</v>
      </c>
      <c r="E8" s="4">
        <f t="shared" si="1"/>
        <v>10794.65</v>
      </c>
    </row>
    <row r="9" spans="1:5" x14ac:dyDescent="0.25">
      <c r="A9" s="2"/>
      <c r="C9" s="3"/>
      <c r="D9" s="4"/>
      <c r="E9" s="4"/>
    </row>
    <row r="10" spans="1:5" x14ac:dyDescent="0.25">
      <c r="A10" s="2" t="s">
        <v>12</v>
      </c>
      <c r="C10" s="3"/>
      <c r="D10" s="4">
        <f>AVERAGE(D4:D7)</f>
        <v>332.86750000000001</v>
      </c>
      <c r="E10" s="4"/>
    </row>
    <row r="11" spans="1:5" x14ac:dyDescent="0.25">
      <c r="A11" s="2" t="s">
        <v>13</v>
      </c>
      <c r="C11" s="3"/>
      <c r="D11" s="4">
        <f>MIN(D4:D7)</f>
        <v>25.99</v>
      </c>
      <c r="E11" s="4"/>
    </row>
    <row r="12" spans="1:5" x14ac:dyDescent="0.25">
      <c r="A12" s="2" t="s">
        <v>14</v>
      </c>
      <c r="C12" s="3"/>
      <c r="D12" s="4">
        <f>MAX(D4:D7)</f>
        <v>999.99</v>
      </c>
      <c r="E12" s="4"/>
    </row>
  </sheetData>
  <mergeCells count="1">
    <mergeCell ref="A1:E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E12"/>
  <sheetViews>
    <sheetView workbookViewId="0">
      <selection activeCell="D16" sqref="D16"/>
    </sheetView>
  </sheetViews>
  <sheetFormatPr baseColWidth="10" defaultRowHeight="15" x14ac:dyDescent="0.25"/>
  <sheetData>
    <row r="1" spans="1:5" ht="23.25" x14ac:dyDescent="0.35">
      <c r="A1" s="59" t="s">
        <v>5</v>
      </c>
      <c r="B1" s="59"/>
      <c r="C1" s="59"/>
      <c r="D1" s="59"/>
      <c r="E1" s="59"/>
    </row>
    <row r="2" spans="1:5" ht="15.75" thickBot="1" x14ac:dyDescent="0.3">
      <c r="A2" s="2"/>
      <c r="C2" s="3"/>
      <c r="D2" s="4"/>
      <c r="E2" s="4"/>
    </row>
    <row r="3" spans="1:5" x14ac:dyDescent="0.25">
      <c r="A3" s="10" t="s">
        <v>1</v>
      </c>
      <c r="B3" s="11" t="s">
        <v>2</v>
      </c>
      <c r="C3" s="12" t="s">
        <v>3</v>
      </c>
      <c r="D3" s="13" t="s">
        <v>4</v>
      </c>
      <c r="E3" s="14" t="s">
        <v>6</v>
      </c>
    </row>
    <row r="4" spans="1:5" x14ac:dyDescent="0.25">
      <c r="A4" s="15">
        <v>45580</v>
      </c>
      <c r="B4" s="7" t="s">
        <v>7</v>
      </c>
      <c r="C4" s="8">
        <v>2</v>
      </c>
      <c r="D4" s="9">
        <v>999.99</v>
      </c>
      <c r="E4" s="16">
        <f>C4*D4</f>
        <v>1999.98</v>
      </c>
    </row>
    <row r="5" spans="1:5" x14ac:dyDescent="0.25">
      <c r="A5" s="18">
        <v>45580</v>
      </c>
      <c r="B5" s="19" t="s">
        <v>8</v>
      </c>
      <c r="C5" s="20">
        <v>14</v>
      </c>
      <c r="D5" s="21">
        <v>25.99</v>
      </c>
      <c r="E5" s="16">
        <f t="shared" ref="E5:E7" si="0">C5*D5</f>
        <v>363.85999999999996</v>
      </c>
    </row>
    <row r="6" spans="1:5" x14ac:dyDescent="0.25">
      <c r="A6" s="15">
        <v>45581</v>
      </c>
      <c r="B6" s="7" t="s">
        <v>9</v>
      </c>
      <c r="C6" s="8">
        <v>14</v>
      </c>
      <c r="D6" s="9">
        <v>45.5</v>
      </c>
      <c r="E6" s="16">
        <f t="shared" si="0"/>
        <v>637</v>
      </c>
    </row>
    <row r="7" spans="1:5" ht="15.75" thickBot="1" x14ac:dyDescent="0.3">
      <c r="A7" s="23">
        <v>45581</v>
      </c>
      <c r="B7" s="24" t="s">
        <v>10</v>
      </c>
      <c r="C7" s="25">
        <v>12</v>
      </c>
      <c r="D7" s="26">
        <v>259.99</v>
      </c>
      <c r="E7" s="17">
        <f t="shared" si="0"/>
        <v>3119.88</v>
      </c>
    </row>
    <row r="8" spans="1:5" x14ac:dyDescent="0.25">
      <c r="A8" s="2" t="s">
        <v>11</v>
      </c>
      <c r="C8" s="3">
        <f>SUM(C4:C7)</f>
        <v>42</v>
      </c>
      <c r="D8" s="4">
        <f t="shared" ref="D8:E8" si="1">SUM(D4:D7)</f>
        <v>1331.47</v>
      </c>
      <c r="E8" s="4">
        <f t="shared" si="1"/>
        <v>6120.72</v>
      </c>
    </row>
    <row r="9" spans="1:5" x14ac:dyDescent="0.25">
      <c r="A9" s="2"/>
      <c r="C9" s="3"/>
      <c r="D9" s="4"/>
      <c r="E9" s="4"/>
    </row>
    <row r="10" spans="1:5" x14ac:dyDescent="0.25">
      <c r="A10" s="2" t="s">
        <v>12</v>
      </c>
      <c r="C10" s="3"/>
      <c r="D10" s="4">
        <f>AVERAGE(D4:D7)</f>
        <v>332.86750000000001</v>
      </c>
      <c r="E10" s="4"/>
    </row>
    <row r="11" spans="1:5" x14ac:dyDescent="0.25">
      <c r="A11" s="2" t="s">
        <v>13</v>
      </c>
      <c r="C11" s="3"/>
      <c r="D11" s="4">
        <f>MIN(D4:D7)</f>
        <v>25.99</v>
      </c>
      <c r="E11" s="4"/>
    </row>
    <row r="12" spans="1:5" x14ac:dyDescent="0.25">
      <c r="A12" s="2" t="s">
        <v>14</v>
      </c>
      <c r="C12" s="3"/>
      <c r="D12" s="4">
        <f>MAX(D4:D7)</f>
        <v>999.99</v>
      </c>
      <c r="E12" s="4"/>
    </row>
  </sheetData>
  <mergeCells count="1">
    <mergeCell ref="A1:E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E8"/>
  <sheetViews>
    <sheetView workbookViewId="0">
      <selection activeCell="F30" sqref="F30"/>
    </sheetView>
  </sheetViews>
  <sheetFormatPr baseColWidth="10" defaultRowHeight="15" x14ac:dyDescent="0.25"/>
  <cols>
    <col min="2" max="2" width="17.5703125" style="3" bestFit="1" customWidth="1"/>
    <col min="3" max="3" width="15.85546875" style="4" bestFit="1" customWidth="1"/>
  </cols>
  <sheetData>
    <row r="1" spans="1:5" x14ac:dyDescent="0.25">
      <c r="A1" s="60" t="s">
        <v>20</v>
      </c>
      <c r="B1" s="60"/>
      <c r="C1" s="60"/>
      <c r="D1" s="1"/>
      <c r="E1" s="1"/>
    </row>
    <row r="2" spans="1:5" ht="15.75" thickBot="1" x14ac:dyDescent="0.3"/>
    <row r="3" spans="1:5" x14ac:dyDescent="0.25">
      <c r="A3" s="35" t="s">
        <v>21</v>
      </c>
      <c r="B3" s="36" t="s">
        <v>27</v>
      </c>
      <c r="C3" s="37" t="s">
        <v>26</v>
      </c>
    </row>
    <row r="4" spans="1:5" x14ac:dyDescent="0.25">
      <c r="A4" s="34" t="s">
        <v>22</v>
      </c>
      <c r="B4" s="8">
        <f>T1_2024!C8</f>
        <v>28</v>
      </c>
      <c r="C4" s="16">
        <f>T1_2024!E8</f>
        <v>6455.8</v>
      </c>
    </row>
    <row r="5" spans="1:5" x14ac:dyDescent="0.25">
      <c r="A5" s="38" t="s">
        <v>23</v>
      </c>
      <c r="B5" s="39">
        <f>T2_2024!C8</f>
        <v>22</v>
      </c>
      <c r="C5" s="40">
        <f>T2_2024!E8</f>
        <v>5949.82</v>
      </c>
    </row>
    <row r="6" spans="1:5" x14ac:dyDescent="0.25">
      <c r="A6" s="34" t="s">
        <v>24</v>
      </c>
      <c r="B6" s="8">
        <f>T3_2024!C8</f>
        <v>45</v>
      </c>
      <c r="C6" s="16">
        <f>T3_2024!E8</f>
        <v>10794.65</v>
      </c>
    </row>
    <row r="7" spans="1:5" ht="15.75" thickBot="1" x14ac:dyDescent="0.3">
      <c r="A7" s="41" t="s">
        <v>25</v>
      </c>
      <c r="B7" s="42">
        <f>T4_2024!C8</f>
        <v>42</v>
      </c>
      <c r="C7" s="43">
        <f>T4_2024!E8</f>
        <v>6120.72</v>
      </c>
    </row>
    <row r="8" spans="1:5" x14ac:dyDescent="0.25">
      <c r="A8" t="s">
        <v>6</v>
      </c>
      <c r="B8" s="3">
        <f>SUM(B3:B7)</f>
        <v>137</v>
      </c>
      <c r="C8" s="4">
        <f>SUM(C3:C7)</f>
        <v>29320.989999999998</v>
      </c>
    </row>
  </sheetData>
  <mergeCells count="1">
    <mergeCell ref="A1:C1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tabSelected="1" workbookViewId="0">
      <selection activeCell="C4" sqref="C4:C8"/>
    </sheetView>
  </sheetViews>
  <sheetFormatPr baseColWidth="10" defaultRowHeight="15" x14ac:dyDescent="0.25"/>
  <cols>
    <col min="2" max="2" width="17.5703125" style="3" bestFit="1" customWidth="1"/>
    <col min="3" max="3" width="15.85546875" style="4" bestFit="1" customWidth="1"/>
  </cols>
  <sheetData>
    <row r="1" spans="1:5" x14ac:dyDescent="0.25">
      <c r="A1" s="60" t="s">
        <v>20</v>
      </c>
      <c r="B1" s="60"/>
      <c r="C1" s="60"/>
      <c r="D1" s="1"/>
      <c r="E1" s="1"/>
    </row>
    <row r="2" spans="1:5" ht="15.75" thickBot="1" x14ac:dyDescent="0.3"/>
    <row r="3" spans="1:5" x14ac:dyDescent="0.25">
      <c r="A3" s="35" t="s">
        <v>21</v>
      </c>
      <c r="B3" s="36" t="s">
        <v>27</v>
      </c>
      <c r="C3" s="37" t="s">
        <v>26</v>
      </c>
    </row>
    <row r="4" spans="1:5" x14ac:dyDescent="0.25">
      <c r="A4" s="34" t="s">
        <v>22</v>
      </c>
      <c r="B4" s="8">
        <f>T1_2024!C8</f>
        <v>28</v>
      </c>
      <c r="C4" s="16">
        <f>T1_2024!E8</f>
        <v>6455.8</v>
      </c>
    </row>
    <row r="5" spans="1:5" x14ac:dyDescent="0.25">
      <c r="A5" s="38" t="s">
        <v>23</v>
      </c>
      <c r="B5" s="39">
        <f>T2_2024!C8</f>
        <v>22</v>
      </c>
      <c r="C5" s="40">
        <f>T2_2024!E8</f>
        <v>5949.82</v>
      </c>
    </row>
    <row r="6" spans="1:5" x14ac:dyDescent="0.25">
      <c r="A6" s="34" t="s">
        <v>24</v>
      </c>
      <c r="B6" s="8">
        <f>T3_2024!C8</f>
        <v>45</v>
      </c>
      <c r="C6" s="16">
        <f>T3_2024!E8</f>
        <v>10794.65</v>
      </c>
    </row>
    <row r="7" spans="1:5" ht="15.75" thickBot="1" x14ac:dyDescent="0.3">
      <c r="A7" s="41" t="s">
        <v>25</v>
      </c>
      <c r="B7" s="42">
        <f>T4_2024!C8</f>
        <v>42</v>
      </c>
      <c r="C7" s="43">
        <f>T4_2024!E8</f>
        <v>6120.72</v>
      </c>
    </row>
    <row r="8" spans="1:5" x14ac:dyDescent="0.25">
      <c r="A8" t="s">
        <v>6</v>
      </c>
      <c r="B8" s="3">
        <f>SUM(B3:B7)</f>
        <v>137</v>
      </c>
      <c r="C8" s="4">
        <f>SUM(C3:C7)</f>
        <v>29320.989999999998</v>
      </c>
    </row>
  </sheetData>
  <mergeCells count="1">
    <mergeCell ref="A1:C1"/>
  </mergeCells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8"/>
  <sheetViews>
    <sheetView workbookViewId="0">
      <selection activeCell="M43" sqref="M43"/>
    </sheetView>
  </sheetViews>
  <sheetFormatPr baseColWidth="10" defaultRowHeight="15" x14ac:dyDescent="0.25"/>
  <cols>
    <col min="2" max="2" width="17.5703125" style="3" bestFit="1" customWidth="1"/>
    <col min="3" max="3" width="15.85546875" style="4" bestFit="1" customWidth="1"/>
  </cols>
  <sheetData>
    <row r="1" spans="1:5" x14ac:dyDescent="0.25">
      <c r="A1" s="60" t="s">
        <v>20</v>
      </c>
      <c r="B1" s="60"/>
      <c r="C1" s="60"/>
      <c r="D1" s="1"/>
      <c r="E1" s="1"/>
    </row>
    <row r="2" spans="1:5" ht="15.75" thickBot="1" x14ac:dyDescent="0.3">
      <c r="A2" s="33"/>
      <c r="B2" s="44"/>
      <c r="C2" s="45"/>
    </row>
    <row r="3" spans="1:5" x14ac:dyDescent="0.25">
      <c r="A3" s="46" t="s">
        <v>21</v>
      </c>
      <c r="B3" s="47" t="s">
        <v>27</v>
      </c>
      <c r="C3" s="48" t="s">
        <v>26</v>
      </c>
    </row>
    <row r="4" spans="1:5" x14ac:dyDescent="0.25">
      <c r="A4" s="49" t="s">
        <v>22</v>
      </c>
      <c r="B4" s="50">
        <f>T1_2024!C8</f>
        <v>28</v>
      </c>
      <c r="C4" s="51">
        <f>T1_2024!E8</f>
        <v>6455.8</v>
      </c>
    </row>
    <row r="5" spans="1:5" x14ac:dyDescent="0.25">
      <c r="A5" s="52" t="s">
        <v>23</v>
      </c>
      <c r="B5" s="53">
        <f>T2_2024!C8</f>
        <v>22</v>
      </c>
      <c r="C5" s="54">
        <f>T2_2024!E8</f>
        <v>5949.82</v>
      </c>
    </row>
    <row r="6" spans="1:5" x14ac:dyDescent="0.25">
      <c r="A6" s="49" t="s">
        <v>24</v>
      </c>
      <c r="B6" s="50">
        <f>T3_2024!C8</f>
        <v>45</v>
      </c>
      <c r="C6" s="51">
        <f>T3_2024!E8</f>
        <v>10794.65</v>
      </c>
    </row>
    <row r="7" spans="1:5" ht="15.75" thickBot="1" x14ac:dyDescent="0.3">
      <c r="A7" s="55" t="s">
        <v>25</v>
      </c>
      <c r="B7" s="56">
        <f>T4_2024!C8</f>
        <v>42</v>
      </c>
      <c r="C7" s="57">
        <f>T4_2024!E8</f>
        <v>6120.72</v>
      </c>
    </row>
    <row r="8" spans="1:5" x14ac:dyDescent="0.25">
      <c r="A8" s="33" t="s">
        <v>6</v>
      </c>
      <c r="B8" s="44">
        <f>SUM(B3:B7)</f>
        <v>137</v>
      </c>
      <c r="C8" s="45">
        <f>SUM(C3:C7)</f>
        <v>29320.989999999998</v>
      </c>
    </row>
  </sheetData>
  <mergeCells count="1">
    <mergeCell ref="A1:C1"/>
  </mergeCells>
  <printOptions horizontalCentered="1" gridLines="1"/>
  <pageMargins left="0.23622047244094491" right="0.23622047244094491" top="0.74803149606299213" bottom="0.74803149606299213" header="0.31496062992125984" footer="0.31496062992125984"/>
  <pageSetup paperSize="9" orientation="landscape" r:id="rId1"/>
  <headerFooter>
    <oddHeader>&amp;LLOGO&amp;CBilan des Ventes 2024&amp;R&amp;D</oddHeader>
    <oddFooter>&amp;LCHC&amp;CPage &amp;P sur &amp;N&amp;RConfidentiel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10</vt:i4>
      </vt:variant>
      <vt:variant>
        <vt:lpstr>Plages nommées</vt:lpstr>
      </vt:variant>
      <vt:variant>
        <vt:i4>2</vt:i4>
      </vt:variant>
    </vt:vector>
  </HeadingPairs>
  <TitlesOfParts>
    <vt:vector size="12" baseType="lpstr">
      <vt:lpstr>Exercice1</vt:lpstr>
      <vt:lpstr>Exercice2</vt:lpstr>
      <vt:lpstr>Exercice3</vt:lpstr>
      <vt:lpstr>T1_2024</vt:lpstr>
      <vt:lpstr>T2_2024</vt:lpstr>
      <vt:lpstr>T3_2024</vt:lpstr>
      <vt:lpstr>T4_2024</vt:lpstr>
      <vt:lpstr>BILAN_ANNUEL</vt:lpstr>
      <vt:lpstr>Exercice5</vt:lpstr>
      <vt:lpstr>Exercice6</vt:lpstr>
      <vt:lpstr>Exercice6!Impression_des_titres</vt:lpstr>
      <vt:lpstr>Exercice6!Zone_d_impression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2024-11-13T08:02:21Z</dcterms:modified>
</cp:coreProperties>
</file>