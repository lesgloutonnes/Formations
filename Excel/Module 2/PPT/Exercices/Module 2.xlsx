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hidePivotFieldList="1" defaultThemeVersion="124226"/>
  <bookViews>
    <workbookView xWindow="240" yWindow="105" windowWidth="14805" windowHeight="8010"/>
  </bookViews>
  <sheets>
    <sheet name="Références" sheetId="1" r:id="rId1"/>
    <sheet name="SI ET" sheetId="2" r:id="rId2"/>
    <sheet name="Produits" sheetId="3" r:id="rId3"/>
    <sheet name="Prix" sheetId="4" r:id="rId4"/>
    <sheet name="Tri et Filtres" sheetId="5" r:id="rId5"/>
    <sheet name="Validation des données" sheetId="6" r:id="rId6"/>
    <sheet name="TCD" sheetId="7" r:id="rId7"/>
    <sheet name="Mise en forme condi" sheetId="9" r:id="rId8"/>
  </sheets>
  <definedNames>
    <definedName name="_xlnm._FilterDatabase" localSheetId="4" hidden="1">'Tri et Filtres'!$A$2:$G$118</definedName>
    <definedName name="Commerciaux_2024" comment="Commerciaux formation">'Validation des données'!$H$27:$H$31</definedName>
    <definedName name="Commerciaux_2025">'Validation des données'!$I$27:$I$31</definedName>
    <definedName name="Segment_Produit">#N/A</definedName>
    <definedName name="Segment_Région">#N/A</definedName>
  </definedNames>
  <calcPr calcId="162913"/>
  <pivotCaches>
    <pivotCache cacheId="25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D2" i="6" l="1"/>
  <c r="G1" i="3" l="1"/>
  <c r="E3" i="3"/>
  <c r="E4" i="3"/>
  <c r="E5" i="3"/>
  <c r="E6" i="3"/>
  <c r="E7" i="3"/>
  <c r="E8" i="3"/>
  <c r="E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C9" i="4"/>
  <c r="C10" i="4"/>
  <c r="C11" i="4"/>
  <c r="C12" i="4"/>
  <c r="C13" i="4"/>
  <c r="C14" i="4"/>
  <c r="C15" i="4"/>
  <c r="C3" i="4"/>
  <c r="C4" i="4"/>
  <c r="C5" i="4"/>
  <c r="C6" i="4"/>
  <c r="C7" i="4"/>
  <c r="C8" i="4"/>
  <c r="C2" i="4"/>
  <c r="D3" i="3"/>
  <c r="D4" i="3"/>
  <c r="D5" i="3"/>
  <c r="D6" i="3"/>
  <c r="D7" i="3"/>
  <c r="D8" i="3"/>
  <c r="D2" i="3"/>
  <c r="E5" i="2" l="1"/>
  <c r="F5" i="2" s="1"/>
  <c r="E4" i="2"/>
  <c r="F4" i="2" s="1"/>
  <c r="F3" i="2"/>
  <c r="E3" i="2"/>
  <c r="E2" i="2"/>
  <c r="F2" i="2" s="1"/>
  <c r="B3" i="1" l="1"/>
  <c r="C4" i="1"/>
  <c r="C3" i="1"/>
  <c r="D3" i="1"/>
  <c r="E3" i="1"/>
  <c r="F3" i="1"/>
  <c r="G3" i="1"/>
  <c r="H3" i="1"/>
  <c r="I3" i="1"/>
  <c r="J3" i="1"/>
  <c r="K3" i="1"/>
  <c r="D4" i="1"/>
  <c r="E4" i="1"/>
  <c r="F4" i="1"/>
  <c r="G4" i="1"/>
  <c r="H4" i="1"/>
  <c r="I4" i="1"/>
  <c r="J4" i="1"/>
  <c r="K4" i="1"/>
  <c r="C5" i="1"/>
  <c r="D5" i="1"/>
  <c r="E5" i="1"/>
  <c r="F5" i="1"/>
  <c r="G5" i="1"/>
  <c r="H5" i="1"/>
  <c r="I5" i="1"/>
  <c r="J5" i="1"/>
  <c r="K5" i="1"/>
  <c r="C6" i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B4" i="1"/>
  <c r="B5" i="1"/>
  <c r="B6" i="1"/>
  <c r="B7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<sst xmlns="http://schemas.openxmlformats.org/spreadsheetml/2006/main" count="863" uniqueCount="336">
  <si>
    <t>Table de Multiplication</t>
  </si>
  <si>
    <t>X</t>
  </si>
  <si>
    <t>Produit</t>
  </si>
  <si>
    <t>Quantité</t>
  </si>
  <si>
    <t>Prix Unitaire</t>
  </si>
  <si>
    <t>Région</t>
  </si>
  <si>
    <t>Statut Vente</t>
  </si>
  <si>
    <t>Bonus Commercial</t>
  </si>
  <si>
    <t>Ecran</t>
  </si>
  <si>
    <t>Verviers</t>
  </si>
  <si>
    <t>Clavier</t>
  </si>
  <si>
    <t>Souris</t>
  </si>
  <si>
    <t>Liège</t>
  </si>
  <si>
    <t>Ordinateur</t>
  </si>
  <si>
    <t>Code Produit</t>
  </si>
  <si>
    <t>Nom Produit</t>
  </si>
  <si>
    <t>Stock Disponible</t>
  </si>
  <si>
    <t>Prix</t>
  </si>
  <si>
    <t>CP001</t>
  </si>
  <si>
    <t>CP002</t>
  </si>
  <si>
    <t>CP003</t>
  </si>
  <si>
    <t>CP004</t>
  </si>
  <si>
    <t>CP005</t>
  </si>
  <si>
    <t>CP006</t>
  </si>
  <si>
    <t>CP007</t>
  </si>
  <si>
    <t>Cable</t>
  </si>
  <si>
    <t>Casque</t>
  </si>
  <si>
    <t>Micro</t>
  </si>
  <si>
    <t>Produits</t>
  </si>
  <si>
    <t>Stock</t>
  </si>
  <si>
    <t>Valeur du stock</t>
  </si>
  <si>
    <t>Total valeur stock</t>
  </si>
  <si>
    <t>Luxembourg</t>
  </si>
  <si>
    <t>16 place de la Gare</t>
  </si>
  <si>
    <t>HOTEL MERCURE ALFA</t>
  </si>
  <si>
    <t>route de Trèves (Findel)</t>
  </si>
  <si>
    <t>HOTEL IBIS</t>
  </si>
  <si>
    <t xml:space="preserve">22 route de Trèves  </t>
  </si>
  <si>
    <t>HOTEL CAMPANILE</t>
  </si>
  <si>
    <t>HOTEL SHERATON AEROGOLF</t>
  </si>
  <si>
    <t>6 rue Fort Niedergrünewald</t>
  </si>
  <si>
    <t>HOTEL NOVOTEL Luxembourg</t>
  </si>
  <si>
    <t xml:space="preserve">1 rue H. Schnadt </t>
  </si>
  <si>
    <t>RESIDENCE HOTEL INN-SIDE</t>
  </si>
  <si>
    <t>120 route d'Echternach</t>
  </si>
  <si>
    <t xml:space="preserve">HOTEL ALVISSE PARC </t>
  </si>
  <si>
    <t>Quartier Européen Nord Kirchberg</t>
  </si>
  <si>
    <t>HOTEL SOFITEL Luxembourg</t>
  </si>
  <si>
    <t>12 boulevard Royal</t>
  </si>
  <si>
    <t>HOTEL LE ROYAL</t>
  </si>
  <si>
    <t>12 rue J. Engling (Dommeldange)</t>
  </si>
  <si>
    <t>HOTEL INTERCONTINENTAL</t>
  </si>
  <si>
    <t>Oostende</t>
  </si>
  <si>
    <t>Wellingstonstraat 1</t>
  </si>
  <si>
    <t>ROYAL ASTRID</t>
  </si>
  <si>
    <t>Londenstraat 6</t>
  </si>
  <si>
    <t>OSTEND</t>
  </si>
  <si>
    <t>Gent</t>
  </si>
  <si>
    <t>Goudenleeuwplein 5</t>
  </si>
  <si>
    <t>NOVOTEL GENT CENTRUM</t>
  </si>
  <si>
    <t>Nederkouter 24-26</t>
  </si>
  <si>
    <t>IBIS GENT CENTRUM OPERA</t>
  </si>
  <si>
    <t>Limburgstraat 2</t>
  </si>
  <si>
    <t>IBIS GENT CENTRUM KATHEDRAAL</t>
  </si>
  <si>
    <t>St-Michiels</t>
  </si>
  <si>
    <t>Chartreuseweg 20</t>
  </si>
  <si>
    <t>NOVOTEL BRUGGE ZUID</t>
  </si>
  <si>
    <t>Brugge</t>
  </si>
  <si>
    <t>Katelijnestraat 65B</t>
  </si>
  <si>
    <t>NOVOTELBRUGGE CENTRUM</t>
  </si>
  <si>
    <t>Katelijnestraat 65A</t>
  </si>
  <si>
    <t>IBIS</t>
  </si>
  <si>
    <t>Oude Burg 5</t>
  </si>
  <si>
    <t>GRAND HOTEL OUDE BURG</t>
  </si>
  <si>
    <t>Blankenberge</t>
  </si>
  <si>
    <t>Kerkstraat 92</t>
  </si>
  <si>
    <t>ALFA INN</t>
  </si>
  <si>
    <t>Koningin Astridlaan 7</t>
  </si>
  <si>
    <t>THERMAE PALACE</t>
  </si>
  <si>
    <t>Kursaal Westhelling 5</t>
  </si>
  <si>
    <t>ANDROMEDA</t>
  </si>
  <si>
    <t>Leuven</t>
  </si>
  <si>
    <t>Alfons Smetsplein 7</t>
  </si>
  <si>
    <t>HOLIDAY INN GARDEN COURT</t>
  </si>
  <si>
    <t>Albertstrand</t>
  </si>
  <si>
    <t>Elisabethlaan 160</t>
  </si>
  <si>
    <t>LA RESERVE</t>
  </si>
  <si>
    <t>Hasselt</t>
  </si>
  <si>
    <t>Kattegatstraat 1</t>
  </si>
  <si>
    <t>HOLIDAY INN HASSELT</t>
  </si>
  <si>
    <t>Hoogpoort 63</t>
  </si>
  <si>
    <t>SOFITEL GENT BELFORT</t>
  </si>
  <si>
    <t>St-Denijs-Westrem</t>
  </si>
  <si>
    <t>Maaltekouter 3</t>
  </si>
  <si>
    <t>HOLIDAY INN GENT EXPO</t>
  </si>
  <si>
    <t>Akkerhage 2</t>
  </si>
  <si>
    <t>HOLIDAY INN GENT</t>
  </si>
  <si>
    <t>Genk</t>
  </si>
  <si>
    <t>Albert Remanssstraat 1</t>
  </si>
  <si>
    <t>ALFA MOLENVIJVER</t>
  </si>
  <si>
    <t>Boeveriestraat 2</t>
  </si>
  <si>
    <t>SOFITEL BRUGGE</t>
  </si>
  <si>
    <t>Vrijdagmarkt 5</t>
  </si>
  <si>
    <t>PARKHOTEL</t>
  </si>
  <si>
    <t>St-Jakobsstraat 41</t>
  </si>
  <si>
    <t>NAVARRA</t>
  </si>
  <si>
    <t>Burg 10</t>
  </si>
  <si>
    <t>HOLIDAY INN CROWNE PLAZA</t>
  </si>
  <si>
    <t>Beveren</t>
  </si>
  <si>
    <t>Gentsesweg 280</t>
  </si>
  <si>
    <t>BEVEREN - VAN DER VALK</t>
  </si>
  <si>
    <t>Antwerpen</t>
  </si>
  <si>
    <t>Luithagen Haven 6</t>
  </si>
  <si>
    <t>NOVOTEL ANTWERPEN NOORD</t>
  </si>
  <si>
    <t>Meistraat 39</t>
  </si>
  <si>
    <t>Berchem</t>
  </si>
  <si>
    <t>Potvlietlaan 2</t>
  </si>
  <si>
    <t>GRIL CAMPANILE</t>
  </si>
  <si>
    <t>De Keyserlei 59</t>
  </si>
  <si>
    <t>FLORIDA</t>
  </si>
  <si>
    <t>Noorderlaan 100</t>
  </si>
  <si>
    <t>ANTWERP DOCKS</t>
  </si>
  <si>
    <t>Desguinlei 94</t>
  </si>
  <si>
    <t>SOFITEL ANTWERPEN</t>
  </si>
  <si>
    <t>Copernicuslaan 2</t>
  </si>
  <si>
    <t>QUEENS HOTEL ANTWERPEN</t>
  </si>
  <si>
    <t>Charlottelei 43-49</t>
  </si>
  <si>
    <t>PLAZA</t>
  </si>
  <si>
    <t>De Keyserlei 25-30</t>
  </si>
  <si>
    <t>HYLLIT HOTEL</t>
  </si>
  <si>
    <t>Gerard Legrellelaan 10</t>
  </si>
  <si>
    <t>Borgerhout</t>
  </si>
  <si>
    <t>Luitenant Lippenslaan 66</t>
  </si>
  <si>
    <t>HOLIDAY INN ANTWERP BORGERHOUT</t>
  </si>
  <si>
    <t>Kalverveld 8-12</t>
  </si>
  <si>
    <t>CITY INN</t>
  </si>
  <si>
    <t>Quinten Matsijslei 25</t>
  </si>
  <si>
    <t>CARLTON</t>
  </si>
  <si>
    <t>Koning Astridplein 1</t>
  </si>
  <si>
    <t>ASTRID PARK PLAZA ANTWERPEN</t>
  </si>
  <si>
    <t xml:space="preserve">Groenplaats </t>
  </si>
  <si>
    <t>ANTWERP HILTON</t>
  </si>
  <si>
    <t>Arenbergstraat 30</t>
  </si>
  <si>
    <t>ALFA THEATER</t>
  </si>
  <si>
    <t>De Keyselei 66-70</t>
  </si>
  <si>
    <t>ALFA DE KEYSER</t>
  </si>
  <si>
    <t>Van eyckelei 32-36</t>
  </si>
  <si>
    <t>PARK LANE</t>
  </si>
  <si>
    <t>Bruxelles</t>
  </si>
  <si>
    <t>rue Des Croisades 6-10</t>
  </si>
  <si>
    <t>COLONIES (HOTELS DES)</t>
  </si>
  <si>
    <t>Drogenbos</t>
  </si>
  <si>
    <t>W. A. Mozartlaan 1</t>
  </si>
  <si>
    <t>CAMPANILE</t>
  </si>
  <si>
    <t>avenue Impératrice Charlotte 6</t>
  </si>
  <si>
    <t>avenue Du Haut Pont 2</t>
  </si>
  <si>
    <t>FORUM</t>
  </si>
  <si>
    <t>Diegem</t>
  </si>
  <si>
    <t>Bessenveldstraat 17</t>
  </si>
  <si>
    <t xml:space="preserve">IBIS </t>
  </si>
  <si>
    <t>rue Joseph Plateau 2</t>
  </si>
  <si>
    <t>IBIS BRUSSELS CITY</t>
  </si>
  <si>
    <t>Quai Au Bois à Bruler 51</t>
  </si>
  <si>
    <t>ORION</t>
  </si>
  <si>
    <t>place Du Samedi 11</t>
  </si>
  <si>
    <t>ASTRID</t>
  </si>
  <si>
    <t>rue Du Marché Aux Herbes 100</t>
  </si>
  <si>
    <t>IBIS GRAND PLACE CENTRE</t>
  </si>
  <si>
    <t xml:space="preserve">square Des Héros 2-4 </t>
  </si>
  <si>
    <t>BEST WESTERN COUNTY HOUSE BRUSSELS</t>
  </si>
  <si>
    <t>rue Joseph II 59</t>
  </si>
  <si>
    <t>CITY GARDEN</t>
  </si>
  <si>
    <t>Olmenstraat 1</t>
  </si>
  <si>
    <t>NOVOTEL BRUSSELS AIRPORT</t>
  </si>
  <si>
    <t>Strombeek-Bever</t>
  </si>
  <si>
    <t>Romeinsesteenweg 572</t>
  </si>
  <si>
    <t>CLARINE</t>
  </si>
  <si>
    <t>St-Genesius</t>
  </si>
  <si>
    <t>Steenweg op Waterloo 212</t>
  </si>
  <si>
    <t>AUBERGE DE WATERLOO</t>
  </si>
  <si>
    <t>rue Du Luxembourg 33-35</t>
  </si>
  <si>
    <t>LEOPOLD</t>
  </si>
  <si>
    <t>Holidaystraat 7</t>
  </si>
  <si>
    <t>HOLYDAY INN BRUSSELS AIRPORT</t>
  </si>
  <si>
    <t>Bessenveldstraat 15</t>
  </si>
  <si>
    <t>SOFITEL BRUSSELS AIRPORT</t>
  </si>
  <si>
    <t>rue Vieux Marché-Aux-Grains 30</t>
  </si>
  <si>
    <t>ATLAS</t>
  </si>
  <si>
    <t>place Rogier 1</t>
  </si>
  <si>
    <t>NEW SIRU</t>
  </si>
  <si>
    <t>rue Berckmans 128</t>
  </si>
  <si>
    <t>CASCADE</t>
  </si>
  <si>
    <t>rue Blanche 4-6</t>
  </si>
  <si>
    <t>CLUBHOUSE HOTEL</t>
  </si>
  <si>
    <t>avenue Jules Bordet 74</t>
  </si>
  <si>
    <t>MERCURE BRUSSELS AIRPORT</t>
  </si>
  <si>
    <t>rue PH. Spaak 15</t>
  </si>
  <si>
    <t>MOVENPICK</t>
  </si>
  <si>
    <t>rue d'Arenberg 18</t>
  </si>
  <si>
    <t>ARCTIA HOTEL BRUSSELS</t>
  </si>
  <si>
    <t>bld Charlemange 50</t>
  </si>
  <si>
    <t>EUROFLAT</t>
  </si>
  <si>
    <t>bld Du Jardin Botanique 12-13</t>
  </si>
  <si>
    <t>DOME I</t>
  </si>
  <si>
    <t>rue d'Assaut 15</t>
  </si>
  <si>
    <t>ARENBERG</t>
  </si>
  <si>
    <t>avenue Louise 381-383</t>
  </si>
  <si>
    <t>MAYFAIR</t>
  </si>
  <si>
    <t>bld Adolphe Max 7</t>
  </si>
  <si>
    <t>JOLLY HOTEL ATLANTA</t>
  </si>
  <si>
    <t>rue Gineste 3</t>
  </si>
  <si>
    <t>PALACE GOLDEN TULIP</t>
  </si>
  <si>
    <t>chaussée De Charleroi 38</t>
  </si>
  <si>
    <t>HOLIDAY INN BRUSSELS CITY CENTER</t>
  </si>
  <si>
    <t>avenue Louise 91-93</t>
  </si>
  <si>
    <t>HOTEL BRISTOL STEPHANIE</t>
  </si>
  <si>
    <t>bld Adolphe Max 118-126/A</t>
  </si>
  <si>
    <t>LE PLAZA</t>
  </si>
  <si>
    <t>rue Parnasse 19</t>
  </si>
  <si>
    <t>SWISSHOTEL BRUSSELS</t>
  </si>
  <si>
    <t>rue Royale 250</t>
  </si>
  <si>
    <t>ROYAL CROWN GRAND HOTEL MERCURE</t>
  </si>
  <si>
    <t>place Rogier 3</t>
  </si>
  <si>
    <t>SHERATON BRUSSELS HOTEL &amp; TOWERS</t>
  </si>
  <si>
    <t>rue De l'Amigo 1-3</t>
  </si>
  <si>
    <t>AMIGO</t>
  </si>
  <si>
    <t>bld E. Jacqmain 180</t>
  </si>
  <si>
    <t>PRESIDENT WORLD TRADE CENTER</t>
  </si>
  <si>
    <t>place Debrouckère 31</t>
  </si>
  <si>
    <t>METROPOL</t>
  </si>
  <si>
    <t>avenue Louise 71</t>
  </si>
  <si>
    <t>CONRAD INTERNATIONAL BRUSSELS</t>
  </si>
  <si>
    <t>rue Suquesnoy 5-7</t>
  </si>
  <si>
    <t>ROYAL WINDSOR</t>
  </si>
  <si>
    <t>rue Du Fossé-Aux-Loups 47</t>
  </si>
  <si>
    <t>RADISSON SAS</t>
  </si>
  <si>
    <t>Carrefour De l'Europe 3</t>
  </si>
  <si>
    <t>MERIDIEN</t>
  </si>
  <si>
    <t>bld De Waterloo 38</t>
  </si>
  <si>
    <t>BRUXELLES HILTON</t>
  </si>
  <si>
    <t>place De La République Française 41</t>
  </si>
  <si>
    <t>IBIS LIEGE CENTRE OPERA</t>
  </si>
  <si>
    <t>Tournai</t>
  </si>
  <si>
    <t>Place Saint-Pierre 2</t>
  </si>
  <si>
    <t>HOLIDAY INN GARDEN COURT TOURNAI</t>
  </si>
  <si>
    <t>Nivelles</t>
  </si>
  <si>
    <t>chaussée De Mons 22</t>
  </si>
  <si>
    <t>MOTEL NIVELLES SUD</t>
  </si>
  <si>
    <t>Mons</t>
  </si>
  <si>
    <t>rue Des Arbalestriers 112</t>
  </si>
  <si>
    <t>LE LIDO</t>
  </si>
  <si>
    <t>Charleroi</t>
  </si>
  <si>
    <t>bld Tirou 96</t>
  </si>
  <si>
    <t>SOCATEL</t>
  </si>
  <si>
    <t>bld Mayence 1A</t>
  </si>
  <si>
    <t>Wepion</t>
  </si>
  <si>
    <t>chée De Dinant 1149</t>
  </si>
  <si>
    <t>NOVOTEL NAMUR</t>
  </si>
  <si>
    <t>Durbuy</t>
  </si>
  <si>
    <t>route De Bohon 21</t>
  </si>
  <si>
    <t>PARC HOTEL RESIDENCE DURBUY</t>
  </si>
  <si>
    <t>Arlon</t>
  </si>
  <si>
    <t>rue De Lorraine 54</t>
  </si>
  <si>
    <t>ARLUX</t>
  </si>
  <si>
    <t>bld De La Sauvenière 1000</t>
  </si>
  <si>
    <t>HOTEL MECURE LIEGE CENTRE</t>
  </si>
  <si>
    <t>Waimes</t>
  </si>
  <si>
    <t>rue Des Charmilles 67</t>
  </si>
  <si>
    <t>DOMAINE DES HAUTES FAGNES</t>
  </si>
  <si>
    <t>Esplanade De l'Europe 2</t>
  </si>
  <si>
    <t>HOLIDAY INN PALAIS DES CONGRAIS</t>
  </si>
  <si>
    <t>Quai Saint Léonard 36</t>
  </si>
  <si>
    <t>BEDFORD</t>
  </si>
  <si>
    <t>Herstal</t>
  </si>
  <si>
    <t>rue Hurbise 160</t>
  </si>
  <si>
    <t>POST HOTEL</t>
  </si>
  <si>
    <t>Spa</t>
  </si>
  <si>
    <t>route De Balmoral 33</t>
  </si>
  <si>
    <t>DORINT HOTEL SPA BALMORAL</t>
  </si>
  <si>
    <t>Casteau</t>
  </si>
  <si>
    <t>chée De Bruxelles 38</t>
  </si>
  <si>
    <t>CASTEAU RESORT HOTEL (Soignies)</t>
  </si>
  <si>
    <t>Waterloo</t>
  </si>
  <si>
    <t>chée De Tervuren 198</t>
  </si>
  <si>
    <t>GRAND HOTEL DE WATERLOO</t>
  </si>
  <si>
    <t>Limelette</t>
  </si>
  <si>
    <t>rue Charles Dubois 87</t>
  </si>
  <si>
    <t>CHÂTEAU DE LIMELETTE</t>
  </si>
  <si>
    <t>Wavre</t>
  </si>
  <si>
    <t>rue De La Wastinne 45</t>
  </si>
  <si>
    <t>NOVOTEL WAVRE</t>
  </si>
  <si>
    <t>Genval</t>
  </si>
  <si>
    <t>avenue du Lac 87</t>
  </si>
  <si>
    <t>CHÂTEAU DU LAC</t>
  </si>
  <si>
    <t>Nombre de chambres</t>
  </si>
  <si>
    <t>Localité</t>
  </si>
  <si>
    <t>C.P.</t>
  </si>
  <si>
    <t>Adresse</t>
  </si>
  <si>
    <t>NOM</t>
  </si>
  <si>
    <t>Nombre d'étoiles</t>
  </si>
  <si>
    <t>Numéro</t>
  </si>
  <si>
    <t>Je cherche un hotel 5 étoiles à Bruxelles avec moins de 200 chambres</t>
  </si>
  <si>
    <t>Régions</t>
  </si>
  <si>
    <t>Namur</t>
  </si>
  <si>
    <t>Types de produits</t>
  </si>
  <si>
    <t xml:space="preserve">Commerciaux
</t>
  </si>
  <si>
    <t xml:space="preserve">Date de vente </t>
  </si>
  <si>
    <t>Liste en ;</t>
  </si>
  <si>
    <t>Liste from feuille</t>
  </si>
  <si>
    <t>Guillaume</t>
  </si>
  <si>
    <t>Pierre</t>
  </si>
  <si>
    <t>Kévin</t>
  </si>
  <si>
    <t>Pascale</t>
  </si>
  <si>
    <t>Sabrina</t>
  </si>
  <si>
    <t>Romain</t>
  </si>
  <si>
    <t>Charles</t>
  </si>
  <si>
    <t>Guy</t>
  </si>
  <si>
    <t>Sonia</t>
  </si>
  <si>
    <t>Cédric</t>
  </si>
  <si>
    <t>Date</t>
  </si>
  <si>
    <t>Montant</t>
  </si>
  <si>
    <t>Anvers</t>
  </si>
  <si>
    <t>Cables</t>
  </si>
  <si>
    <t>Étiquettes de lignes</t>
  </si>
  <si>
    <t>Total général</t>
  </si>
  <si>
    <t>Somme de Montant</t>
  </si>
  <si>
    <t>avr</t>
  </si>
  <si>
    <t>mars</t>
  </si>
  <si>
    <t>juin</t>
  </si>
  <si>
    <t>janv</t>
  </si>
  <si>
    <t>févr</t>
  </si>
  <si>
    <t>mai</t>
  </si>
  <si>
    <t>juil</t>
  </si>
  <si>
    <t>août</t>
  </si>
  <si>
    <t>sept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</si>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</sst>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[$€-80C]_-;\-* #,##0\ [$€-80C]_-;_-* &quot;-&quot;??\ [$€-80C]_-;_-@_-"/>
    <numFmt numFmtId="165" formatCode="&quot;Hotel &quot;General"/>
  </numFmts>
  <fonts count="1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color rgb="FFFFFF00"/>
      <name val="Arial"/>
      <family val="2"/>
    </font>
    <font>
      <sz val="26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dashed">
        <color indexed="12"/>
      </left>
      <right style="thin">
        <color indexed="12"/>
      </right>
      <top style="dashed">
        <color indexed="12"/>
      </top>
      <bottom style="thin">
        <color indexed="12"/>
      </bottom>
      <diagonal/>
    </border>
    <border>
      <left style="dashed">
        <color indexed="12"/>
      </left>
      <right/>
      <top style="dashed">
        <color indexed="12"/>
      </top>
      <bottom style="thin">
        <color indexed="12"/>
      </bottom>
      <diagonal/>
    </border>
    <border>
      <left style="dashed">
        <color indexed="12"/>
      </left>
      <right style="dashed">
        <color indexed="12"/>
      </right>
      <top style="dashed">
        <color indexed="12"/>
      </top>
      <bottom style="thin">
        <color indexed="12"/>
      </bottom>
      <diagonal/>
    </border>
    <border>
      <left style="dashed">
        <color indexed="12"/>
      </left>
      <right style="dashed">
        <color indexed="12"/>
      </right>
      <top/>
      <bottom style="dashed">
        <color indexed="12"/>
      </bottom>
      <diagonal/>
    </border>
    <border>
      <left style="thin">
        <color indexed="12"/>
      </left>
      <right style="dashed">
        <color indexed="12"/>
      </right>
      <top/>
      <bottom style="dashed">
        <color indexed="12"/>
      </bottom>
      <diagonal/>
    </border>
    <border>
      <left style="dashed">
        <color indexed="12"/>
      </left>
      <right style="thin">
        <color indexed="12"/>
      </right>
      <top style="dashed">
        <color indexed="12"/>
      </top>
      <bottom style="dashed">
        <color indexed="12"/>
      </bottom>
      <diagonal/>
    </border>
    <border>
      <left style="dashed">
        <color indexed="12"/>
      </left>
      <right/>
      <top style="dashed">
        <color indexed="12"/>
      </top>
      <bottom style="dashed">
        <color indexed="12"/>
      </bottom>
      <diagonal/>
    </border>
    <border>
      <left style="dashed">
        <color indexed="12"/>
      </left>
      <right style="dashed">
        <color indexed="12"/>
      </right>
      <top style="dashed">
        <color indexed="12"/>
      </top>
      <bottom style="dashed">
        <color indexed="12"/>
      </bottom>
      <diagonal/>
    </border>
    <border>
      <left style="dashed">
        <color indexed="12"/>
      </left>
      <right style="thin">
        <color indexed="12"/>
      </right>
      <top/>
      <bottom style="dashed">
        <color indexed="12"/>
      </bottom>
      <diagonal/>
    </border>
    <border>
      <left style="dashed">
        <color indexed="12"/>
      </left>
      <right/>
      <top/>
      <bottom style="dashed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double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ashed">
        <color indexed="12"/>
      </right>
      <top/>
      <bottom style="dashed">
        <color indexed="12"/>
      </bottom>
      <diagonal/>
    </border>
    <border>
      <left/>
      <right style="thin">
        <color indexed="12"/>
      </right>
      <top/>
      <bottom style="double">
        <color indexed="12"/>
      </bottom>
      <diagonal/>
    </border>
    <border>
      <left style="thin">
        <color indexed="12"/>
      </left>
      <right style="thin">
        <color indexed="12"/>
      </right>
      <top/>
      <bottom style="double">
        <color indexed="12"/>
      </bottom>
      <diagonal/>
    </border>
    <border>
      <left style="thin">
        <color indexed="12"/>
      </left>
      <right/>
      <top/>
      <bottom style="double">
        <color indexed="12"/>
      </bottom>
      <diagonal/>
    </border>
  </borders>
  <cellStyleXfs count="10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2" applyNumberFormat="0" applyFill="0" applyAlignment="0" applyProtection="0"/>
    <xf numFmtId="0" fontId="4" fillId="3" borderId="3" applyNumberFormat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0" borderId="0"/>
  </cellStyleXfs>
  <cellXfs count="50">
    <xf numFmtId="0" fontId="0" fillId="0" borderId="0" xfId="0"/>
    <xf numFmtId="0" fontId="2" fillId="3" borderId="1" xfId="2"/>
    <xf numFmtId="0" fontId="1" fillId="2" borderId="1" xfId="1"/>
    <xf numFmtId="0" fontId="2" fillId="3" borderId="1" xfId="2" applyAlignment="1">
      <alignment horizontal="right"/>
    </xf>
    <xf numFmtId="0" fontId="3" fillId="3" borderId="2" xfId="3" applyFill="1"/>
    <xf numFmtId="0" fontId="3" fillId="0" borderId="2" xfId="3"/>
    <xf numFmtId="0" fontId="4" fillId="3" borderId="3" xfId="4"/>
    <xf numFmtId="164" fontId="1" fillId="2" borderId="1" xfId="5" applyNumberFormat="1" applyFont="1" applyFill="1" applyBorder="1"/>
    <xf numFmtId="0" fontId="7" fillId="5" borderId="4" xfId="8" applyBorder="1"/>
    <xf numFmtId="0" fontId="6" fillId="4" borderId="4" xfId="7" applyBorder="1"/>
    <xf numFmtId="0" fontId="6" fillId="4" borderId="1" xfId="7" applyBorder="1" applyAlignment="1">
      <alignment horizontal="right"/>
    </xf>
    <xf numFmtId="0" fontId="6" fillId="4" borderId="0" xfId="7"/>
    <xf numFmtId="44" fontId="6" fillId="4" borderId="0" xfId="6" applyFont="1" applyFill="1"/>
    <xf numFmtId="0" fontId="7" fillId="5" borderId="1" xfId="8" applyBorder="1"/>
    <xf numFmtId="0" fontId="7" fillId="5" borderId="0" xfId="8"/>
    <xf numFmtId="44" fontId="6" fillId="4" borderId="0" xfId="7" applyNumberFormat="1"/>
    <xf numFmtId="0" fontId="9" fillId="0" borderId="5" xfId="9" applyFont="1" applyBorder="1"/>
    <xf numFmtId="0" fontId="9" fillId="0" borderId="6" xfId="9" applyFont="1" applyBorder="1" applyAlignment="1"/>
    <xf numFmtId="0" fontId="9" fillId="0" borderId="7" xfId="9" applyFont="1" applyBorder="1" applyAlignment="1"/>
    <xf numFmtId="0" fontId="9" fillId="0" borderId="7" xfId="9" applyFont="1" applyBorder="1"/>
    <xf numFmtId="0" fontId="9" fillId="0" borderId="8" xfId="9" applyFont="1" applyBorder="1" applyAlignment="1">
      <alignment horizontal="left"/>
    </xf>
    <xf numFmtId="165" fontId="10" fillId="0" borderId="9" xfId="9" applyNumberFormat="1" applyFont="1" applyBorder="1" applyAlignment="1"/>
    <xf numFmtId="0" fontId="9" fillId="0" borderId="10" xfId="9" applyFont="1" applyBorder="1"/>
    <xf numFmtId="0" fontId="9" fillId="0" borderId="11" xfId="9" applyFont="1" applyBorder="1" applyAlignment="1"/>
    <xf numFmtId="0" fontId="9" fillId="0" borderId="12" xfId="9" applyFont="1" applyBorder="1" applyAlignment="1"/>
    <xf numFmtId="0" fontId="9" fillId="0" borderId="12" xfId="9" applyFont="1" applyBorder="1"/>
    <xf numFmtId="0" fontId="9" fillId="0" borderId="10" xfId="9" applyFont="1" applyBorder="1" applyAlignment="1">
      <alignment shrinkToFit="1"/>
    </xf>
    <xf numFmtId="0" fontId="9" fillId="0" borderId="12" xfId="9" applyFont="1" applyBorder="1" applyAlignment="1">
      <alignment shrinkToFit="1"/>
    </xf>
    <xf numFmtId="0" fontId="9" fillId="0" borderId="12" xfId="9" applyFont="1" applyBorder="1" applyAlignment="1">
      <alignment horizontal="left" shrinkToFit="1"/>
    </xf>
    <xf numFmtId="0" fontId="9" fillId="0" borderId="13" xfId="9" applyFont="1" applyBorder="1"/>
    <xf numFmtId="0" fontId="9" fillId="0" borderId="14" xfId="9" applyFont="1" applyBorder="1" applyAlignment="1"/>
    <xf numFmtId="0" fontId="9" fillId="0" borderId="8" xfId="9" applyFont="1" applyBorder="1" applyAlignment="1"/>
    <xf numFmtId="0" fontId="9" fillId="0" borderId="8" xfId="9" applyFont="1" applyBorder="1"/>
    <xf numFmtId="0" fontId="11" fillId="6" borderId="15" xfId="9" applyFont="1" applyFill="1" applyBorder="1" applyAlignment="1">
      <alignment horizontal="center" vertical="center" wrapText="1"/>
    </xf>
    <xf numFmtId="0" fontId="2" fillId="3" borderId="1" xfId="2" applyAlignment="1">
      <alignment horizontal="center" vertical="center" readingOrder="1"/>
    </xf>
    <xf numFmtId="0" fontId="12" fillId="5" borderId="16" xfId="8" applyFont="1" applyBorder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" fillId="3" borderId="4" xfId="2" applyBorder="1"/>
    <xf numFmtId="165" fontId="10" fillId="0" borderId="17" xfId="9" applyNumberFormat="1" applyFont="1" applyBorder="1" applyAlignment="1"/>
    <xf numFmtId="0" fontId="9" fillId="0" borderId="14" xfId="9" applyFont="1" applyBorder="1"/>
    <xf numFmtId="0" fontId="9" fillId="0" borderId="11" xfId="9" applyFont="1" applyBorder="1"/>
    <xf numFmtId="0" fontId="9" fillId="0" borderId="11" xfId="9" applyFont="1" applyBorder="1" applyAlignment="1">
      <alignment shrinkToFit="1"/>
    </xf>
    <xf numFmtId="0" fontId="9" fillId="0" borderId="6" xfId="9" applyFont="1" applyBorder="1"/>
    <xf numFmtId="0" fontId="11" fillId="6" borderId="18" xfId="9" applyFont="1" applyFill="1" applyBorder="1" applyAlignment="1">
      <alignment horizontal="center" vertical="center" wrapText="1"/>
    </xf>
    <xf numFmtId="0" fontId="11" fillId="6" borderId="19" xfId="9" applyFont="1" applyFill="1" applyBorder="1" applyAlignment="1">
      <alignment horizontal="center" vertical="center" wrapText="1"/>
    </xf>
    <xf numFmtId="0" fontId="11" fillId="6" borderId="20" xfId="9" applyFont="1" applyFill="1" applyBorder="1" applyAlignment="1">
      <alignment horizontal="center" vertical="center" wrapText="1"/>
    </xf>
  </cellXfs>
  <cellStyles count="10">
    <cellStyle name="Calcul" xfId="2" builtinId="22"/>
    <cellStyle name="Cellule liée" xfId="3" builtinId="24"/>
    <cellStyle name="Entrée" xfId="1" builtinId="20"/>
    <cellStyle name="Milliers" xfId="5" builtinId="3"/>
    <cellStyle name="Monétaire" xfId="6" builtinId="4"/>
    <cellStyle name="Neutre" xfId="8" builtinId="28"/>
    <cellStyle name="Normal" xfId="0" builtinId="0"/>
    <cellStyle name="Normal_Classeur1" xfId="9"/>
    <cellStyle name="Satisfaisant" xfId="7" builtinId="26"/>
    <cellStyle name="Sortie" xfId="4" builtinId="21"/>
  </cellStyles>
  <dxfs count="12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12"/>
        </left>
        <right style="thin">
          <color indexed="1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border diagonalUp="0" diagonalDown="0">
        <left style="dashed">
          <color indexed="12"/>
        </left>
        <right/>
        <top style="dashed">
          <color indexed="12"/>
        </top>
        <bottom style="dashed">
          <color indexed="1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dashed">
          <color indexed="12"/>
        </left>
        <right/>
        <top style="dashed">
          <color indexed="12"/>
        </top>
        <bottom style="dashed">
          <color indexed="1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dashed">
          <color indexed="12"/>
        </left>
        <right style="dashed">
          <color indexed="12"/>
        </right>
        <top style="dashed">
          <color indexed="12"/>
        </top>
        <bottom style="dashed">
          <color indexed="1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border diagonalUp="0" diagonalDown="0">
        <left style="dashed">
          <color indexed="12"/>
        </left>
        <right style="dashed">
          <color indexed="12"/>
        </right>
        <top style="dashed">
          <color indexed="12"/>
        </top>
        <bottom style="dashed">
          <color indexed="1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border diagonalUp="0" diagonalDown="0">
        <left style="dashed">
          <color indexed="12"/>
        </left>
        <right style="dashed">
          <color indexed="12"/>
        </right>
        <top style="dashed">
          <color indexed="12"/>
        </top>
        <bottom style="dashed">
          <color indexed="1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dashed">
          <color indexed="12"/>
        </left>
        <right style="dashed">
          <color indexed="12"/>
        </right>
        <top/>
        <bottom style="dashed">
          <color indexed="12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&quot;Hotel &quot;General"/>
      <alignment horizontal="general" vertical="bottom" textRotation="0" wrapText="0" indent="0" justifyLastLine="0" shrinkToFit="0" readingOrder="0"/>
      <border diagonalUp="0" diagonalDown="0">
        <left/>
        <right style="dashed">
          <color indexed="12"/>
        </right>
        <top/>
        <bottom style="dashed">
          <color indexed="12"/>
        </bottom>
        <vertical/>
        <horizontal/>
      </border>
    </dxf>
    <dxf>
      <border outline="0">
        <bottom style="double">
          <color indexed="12"/>
        </bottom>
      </border>
    </dxf>
    <dxf>
      <border outline="0">
        <left style="thin">
          <color indexed="12"/>
        </left>
        <right style="thin">
          <color indexed="12"/>
        </right>
        <top style="thin">
          <color indexed="12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2.xlsx]TCD!Tableau croisé dynamique4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TCD!$V$11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TCD!$U$12:$U$19</c:f>
              <c:strCache>
                <c:ptCount val="7"/>
                <c:pt idx="0">
                  <c:v>Cables</c:v>
                </c:pt>
                <c:pt idx="1">
                  <c:v>Casque</c:v>
                </c:pt>
                <c:pt idx="2">
                  <c:v>Clavier</c:v>
                </c:pt>
                <c:pt idx="3">
                  <c:v>Ecran</c:v>
                </c:pt>
                <c:pt idx="4">
                  <c:v>Micro</c:v>
                </c:pt>
                <c:pt idx="5">
                  <c:v>Ordinateur</c:v>
                </c:pt>
                <c:pt idx="6">
                  <c:v>Souris</c:v>
                </c:pt>
              </c:strCache>
            </c:strRef>
          </c:cat>
          <c:val>
            <c:numRef>
              <c:f>TCD!$V$12:$V$19</c:f>
              <c:numCache>
                <c:formatCode>0.00%</c:formatCode>
                <c:ptCount val="7"/>
                <c:pt idx="0">
                  <c:v>0.1111111111111111</c:v>
                </c:pt>
                <c:pt idx="1">
                  <c:v>0.31111111111111112</c:v>
                </c:pt>
                <c:pt idx="2">
                  <c:v>2.2222222222222223E-2</c:v>
                </c:pt>
                <c:pt idx="3">
                  <c:v>6.6666666666666666E-2</c:v>
                </c:pt>
                <c:pt idx="4">
                  <c:v>0.35555555555555557</c:v>
                </c:pt>
                <c:pt idx="5">
                  <c:v>8.8888888888888892E-2</c:v>
                </c:pt>
                <c:pt idx="6">
                  <c:v>4.4444444444444446E-2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2-4BA2-8B4B-5ED05F89D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14287</xdr:colOff>
      <xdr:row>19</xdr:row>
      <xdr:rowOff>180975</xdr:rowOff>
    </xdr:from>
    <xdr:to>
      <xdr:col>24</xdr:col>
      <xdr:colOff>461962</xdr:colOff>
      <xdr:row>34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114300</xdr:colOff>
      <xdr:row>20</xdr:row>
      <xdr:rowOff>104775</xdr:rowOff>
    </xdr:from>
    <xdr:to>
      <xdr:col>19</xdr:col>
      <xdr:colOff>180975</xdr:colOff>
      <xdr:row>33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é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5600" y="39338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1428750</xdr:colOff>
      <xdr:row>20</xdr:row>
      <xdr:rowOff>47625</xdr:rowOff>
    </xdr:from>
    <xdr:to>
      <xdr:col>14</xdr:col>
      <xdr:colOff>180975</xdr:colOff>
      <xdr:row>33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i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2925" y="3876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eur" refreshedDate="45649.438150231479" createdVersion="6" refreshedVersion="6" minRefreshableVersion="3" recordCount="9">
  <cacheSource type="worksheet">
    <worksheetSource ref="A1:E10" sheet="TCD"/>
  </cacheSource>
  <cacheFields count="6">
    <cacheField name="Date" numFmtId="14">
      <sharedItems containsSemiMixedTypes="0" containsNonDate="0" containsDate="1" containsString="0" minDate="2024-01-12T00:00:00" maxDate="2024-09-13T00:00:00" count="9"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</sharedItems>
      <fieldGroup par="5" base="0">
        <rangePr groupBy="days" startDate="2024-01-12T00:00:00" endDate="2024-09-13T00:00:00"/>
        <groupItems count="368">
          <s v="&lt;12/01/2024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13/09/2024"/>
        </groupItems>
      </fieldGroup>
    </cacheField>
    <cacheField name="Région" numFmtId="0">
      <sharedItems containsBlank="1" count="7">
        <s v="Liège"/>
        <s v="Namur"/>
        <s v="Bruxelles"/>
        <s v="Anvers"/>
        <s v="Verviers"/>
        <s v="Herstal"/>
        <m u="1"/>
      </sharedItems>
    </cacheField>
    <cacheField name="Produit" numFmtId="0">
      <sharedItems count="7">
        <s v="Clavier"/>
        <s v="Souris"/>
        <s v="Ecran"/>
        <s v="Ordinateur"/>
        <s v="Cables"/>
        <s v="Casque"/>
        <s v="Micro"/>
      </sharedItems>
    </cacheField>
    <cacheField name="Quantité" numFmtId="0">
      <sharedItems containsSemiMixedTypes="0" containsString="0" containsNumber="1" containsInteger="1" minValue="10" maxValue="90"/>
    </cacheField>
    <cacheField name="Montant" numFmtId="0">
      <sharedItems containsSemiMixedTypes="0" containsString="0" containsNumber="1" containsInteger="1" minValue="5" maxValue="45"/>
    </cacheField>
    <cacheField name="Mois" numFmtId="0" databaseField="0">
      <fieldGroup base="0">
        <rangePr groupBy="months" startDate="2024-01-12T00:00:00" endDate="2024-09-13T00:00:00"/>
        <groupItems count="14">
          <s v="&lt;12/01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3/09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n v="10"/>
    <n v="5"/>
  </r>
  <r>
    <x v="1"/>
    <x v="1"/>
    <x v="1"/>
    <n v="20"/>
    <n v="10"/>
  </r>
  <r>
    <x v="2"/>
    <x v="2"/>
    <x v="2"/>
    <n v="30"/>
    <n v="15"/>
  </r>
  <r>
    <x v="3"/>
    <x v="3"/>
    <x v="3"/>
    <n v="40"/>
    <n v="20"/>
  </r>
  <r>
    <x v="4"/>
    <x v="4"/>
    <x v="4"/>
    <n v="50"/>
    <n v="25"/>
  </r>
  <r>
    <x v="5"/>
    <x v="5"/>
    <x v="5"/>
    <n v="60"/>
    <n v="30"/>
  </r>
  <r>
    <x v="6"/>
    <x v="0"/>
    <x v="6"/>
    <n v="70"/>
    <n v="35"/>
  </r>
  <r>
    <x v="7"/>
    <x v="1"/>
    <x v="5"/>
    <n v="80"/>
    <n v="40"/>
  </r>
  <r>
    <x v="8"/>
    <x v="2"/>
    <x v="6"/>
    <n v="90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2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U11:V19" firstHeaderRow="1" firstDataRow="1" firstDataCol="1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8">
        <item x="4"/>
        <item x="5"/>
        <item x="0"/>
        <item x="2"/>
        <item x="6"/>
        <item x="3"/>
        <item x="1"/>
        <item t="default"/>
      </items>
    </pivotField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Montant" fld="4" showDataAs="percentOfTotal" baseField="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2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H11:R19" firstHeaderRow="1" firstDataRow="2" firstDataCol="1"/>
  <pivotFields count="6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8">
        <item x="3"/>
        <item x="2"/>
        <item x="5"/>
        <item x="0"/>
        <item x="1"/>
        <item x="4"/>
        <item m="1" x="6"/>
        <item t="default"/>
      </items>
    </pivotField>
    <pivotField showAll="0">
      <items count="8">
        <item x="4"/>
        <item x="5"/>
        <item x="0"/>
        <item x="2"/>
        <item x="6"/>
        <item x="3"/>
        <item x="1"/>
        <item t="default"/>
      </items>
    </pivotField>
    <pivotField showAll="0"/>
    <pivotField dataField="1"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e de Monta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égion" sourceName="Région">
  <pivotTables>
    <pivotTable tabId="7" name="Tableau croisé dynamique1"/>
  </pivotTables>
  <data>
    <tabular pivotCacheId="1">
      <items count="7">
        <i x="3" s="1"/>
        <i x="2" s="1"/>
        <i x="5" s="1"/>
        <i x="0" s="1"/>
        <i x="1" s="1"/>
        <i x="4" s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Produit" sourceName="Produit">
  <pivotTables>
    <pivotTable tabId="7" name="Tableau croisé dynamique1"/>
  </pivotTables>
  <data>
    <tabular pivotCacheId="1">
      <items count="7">
        <i x="4" s="1"/>
        <i x="5" s="1"/>
        <i x="0" s="1"/>
        <i x="2" s="1"/>
        <i x="6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égion" cache="Segment_Région" caption="Région" rowHeight="241300"/>
  <slicer name="Produit" cache="Segment_Produit" caption="Produit" rowHeight="241300"/>
</slicers>
</file>

<file path=xl/tables/table1.xml><?xml version="1.0" encoding="utf-8"?>
<table xmlns="http://schemas.openxmlformats.org/spreadsheetml/2006/main" id="4" name="Tableau4" displayName="Tableau4" ref="A1:G117" totalsRowShown="0" headerRowDxfId="2" headerRowBorderDxfId="10" tableBorderDxfId="11" headerRowCellStyle="Normal_Classeur1">
  <tableColumns count="7">
    <tableColumn id="1" name="Numéro" dataDxfId="9" dataCellStyle="Normal_Classeur1"/>
    <tableColumn id="2" name="Nombre d'étoiles" dataDxfId="8" dataCellStyle="Normal_Classeur1"/>
    <tableColumn id="3" name="NOM" dataDxfId="7" dataCellStyle="Normal_Classeur1"/>
    <tableColumn id="4" name="Adresse" dataDxfId="6" dataCellStyle="Normal_Classeur1"/>
    <tableColumn id="5" name="C.P." dataDxfId="5" dataCellStyle="Normal_Classeur1"/>
    <tableColumn id="6" name="Localité" dataDxfId="4" dataCellStyle="Normal_Classeur1"/>
    <tableColumn id="7" name="Nombre de chambres" dataDxfId="3" dataCellStyle="Normal_Classeur1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12"/>
  <sheetViews>
    <sheetView tabSelected="1" workbookViewId="0">
      <selection activeCell="E21" sqref="E21"/>
    </sheetView>
  </sheetViews>
  <sheetFormatPr baseColWidth="10" defaultColWidth="9.140625" defaultRowHeight="15" x14ac:dyDescent="0.25"/>
  <cols>
    <col min="1" max="1" width="20.85546875" bestFit="1" customWidth="1"/>
  </cols>
  <sheetData>
    <row r="1" spans="1:11" ht="15.7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.75" thickTop="1" x14ac:dyDescent="0.25">
      <c r="A2" s="3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</row>
    <row r="3" spans="1:11" x14ac:dyDescent="0.25">
      <c r="A3" s="1">
        <v>5</v>
      </c>
      <c r="B3" s="2">
        <f>$A3*B$2</f>
        <v>5</v>
      </c>
      <c r="C3" s="2">
        <f t="shared" ref="C3:K3" si="0">$A3*C$2</f>
        <v>10</v>
      </c>
      <c r="D3" s="2">
        <f t="shared" si="0"/>
        <v>15</v>
      </c>
      <c r="E3" s="2">
        <f t="shared" si="0"/>
        <v>20</v>
      </c>
      <c r="F3" s="2">
        <f t="shared" si="0"/>
        <v>25</v>
      </c>
      <c r="G3" s="2">
        <f t="shared" si="0"/>
        <v>30</v>
      </c>
      <c r="H3" s="2">
        <f t="shared" si="0"/>
        <v>35</v>
      </c>
      <c r="I3" s="2">
        <f t="shared" si="0"/>
        <v>40</v>
      </c>
      <c r="J3" s="2">
        <f t="shared" si="0"/>
        <v>45</v>
      </c>
      <c r="K3" s="2">
        <f t="shared" si="0"/>
        <v>50</v>
      </c>
    </row>
    <row r="4" spans="1:11" x14ac:dyDescent="0.25">
      <c r="A4" s="1">
        <v>2</v>
      </c>
      <c r="B4" s="2">
        <f t="shared" ref="B4:K12" si="1">$A4*B$2</f>
        <v>2</v>
      </c>
      <c r="C4" s="2">
        <f>$A4*C$2</f>
        <v>4</v>
      </c>
      <c r="D4" s="2">
        <f t="shared" si="1"/>
        <v>6</v>
      </c>
      <c r="E4" s="2">
        <f t="shared" si="1"/>
        <v>8</v>
      </c>
      <c r="F4" s="2">
        <f t="shared" si="1"/>
        <v>10</v>
      </c>
      <c r="G4" s="2">
        <f t="shared" si="1"/>
        <v>12</v>
      </c>
      <c r="H4" s="2">
        <f t="shared" si="1"/>
        <v>14</v>
      </c>
      <c r="I4" s="2">
        <f t="shared" si="1"/>
        <v>16</v>
      </c>
      <c r="J4" s="2">
        <f t="shared" si="1"/>
        <v>18</v>
      </c>
      <c r="K4" s="2">
        <f t="shared" si="1"/>
        <v>20</v>
      </c>
    </row>
    <row r="5" spans="1:11" x14ac:dyDescent="0.25">
      <c r="A5" s="1">
        <v>3</v>
      </c>
      <c r="B5" s="2">
        <f t="shared" si="1"/>
        <v>3</v>
      </c>
      <c r="C5" s="2">
        <f t="shared" si="1"/>
        <v>6</v>
      </c>
      <c r="D5" s="2">
        <f t="shared" si="1"/>
        <v>9</v>
      </c>
      <c r="E5" s="2">
        <f t="shared" si="1"/>
        <v>12</v>
      </c>
      <c r="F5" s="2">
        <f t="shared" si="1"/>
        <v>15</v>
      </c>
      <c r="G5" s="2">
        <f t="shared" si="1"/>
        <v>18</v>
      </c>
      <c r="H5" s="2">
        <f t="shared" si="1"/>
        <v>21</v>
      </c>
      <c r="I5" s="2">
        <f t="shared" si="1"/>
        <v>24</v>
      </c>
      <c r="J5" s="2">
        <f t="shared" si="1"/>
        <v>27</v>
      </c>
      <c r="K5" s="2">
        <f t="shared" si="1"/>
        <v>30</v>
      </c>
    </row>
    <row r="6" spans="1:11" x14ac:dyDescent="0.25">
      <c r="A6" s="1">
        <v>4</v>
      </c>
      <c r="B6" s="2">
        <f t="shared" si="1"/>
        <v>4</v>
      </c>
      <c r="C6" s="2">
        <f t="shared" si="1"/>
        <v>8</v>
      </c>
      <c r="D6" s="2">
        <f t="shared" si="1"/>
        <v>12</v>
      </c>
      <c r="E6" s="2">
        <f t="shared" si="1"/>
        <v>16</v>
      </c>
      <c r="F6" s="2">
        <f t="shared" si="1"/>
        <v>20</v>
      </c>
      <c r="G6" s="2">
        <f t="shared" si="1"/>
        <v>24</v>
      </c>
      <c r="H6" s="2">
        <f t="shared" si="1"/>
        <v>28</v>
      </c>
      <c r="I6" s="2">
        <f t="shared" si="1"/>
        <v>32</v>
      </c>
      <c r="J6" s="2">
        <f t="shared" si="1"/>
        <v>36</v>
      </c>
      <c r="K6" s="2">
        <f t="shared" si="1"/>
        <v>40</v>
      </c>
    </row>
    <row r="7" spans="1:11" x14ac:dyDescent="0.25">
      <c r="A7" s="1">
        <v>5</v>
      </c>
      <c r="B7" s="2">
        <f t="shared" si="1"/>
        <v>5</v>
      </c>
      <c r="C7" s="2">
        <f t="shared" si="1"/>
        <v>10</v>
      </c>
      <c r="D7" s="2">
        <f t="shared" si="1"/>
        <v>15</v>
      </c>
      <c r="E7" s="2">
        <f t="shared" si="1"/>
        <v>20</v>
      </c>
      <c r="F7" s="2">
        <f t="shared" si="1"/>
        <v>25</v>
      </c>
      <c r="G7" s="2">
        <f t="shared" si="1"/>
        <v>30</v>
      </c>
      <c r="H7" s="2">
        <f t="shared" si="1"/>
        <v>35</v>
      </c>
      <c r="I7" s="2">
        <f t="shared" si="1"/>
        <v>40</v>
      </c>
      <c r="J7" s="2">
        <f t="shared" si="1"/>
        <v>45</v>
      </c>
      <c r="K7" s="2">
        <f t="shared" si="1"/>
        <v>50</v>
      </c>
    </row>
    <row r="8" spans="1:11" x14ac:dyDescent="0.25">
      <c r="A8" s="1">
        <v>6</v>
      </c>
      <c r="B8" s="2">
        <f t="shared" si="1"/>
        <v>6</v>
      </c>
      <c r="C8" s="2">
        <f t="shared" si="1"/>
        <v>12</v>
      </c>
      <c r="D8" s="2">
        <f t="shared" si="1"/>
        <v>18</v>
      </c>
      <c r="E8" s="2">
        <f t="shared" si="1"/>
        <v>24</v>
      </c>
      <c r="F8" s="2">
        <f t="shared" si="1"/>
        <v>30</v>
      </c>
      <c r="G8" s="2">
        <f t="shared" si="1"/>
        <v>36</v>
      </c>
      <c r="H8" s="2">
        <f t="shared" si="1"/>
        <v>42</v>
      </c>
      <c r="I8" s="2">
        <f t="shared" si="1"/>
        <v>48</v>
      </c>
      <c r="J8" s="2">
        <f t="shared" si="1"/>
        <v>54</v>
      </c>
      <c r="K8" s="2">
        <f t="shared" si="1"/>
        <v>60</v>
      </c>
    </row>
    <row r="9" spans="1:11" x14ac:dyDescent="0.25">
      <c r="A9" s="1">
        <v>7</v>
      </c>
      <c r="B9" s="2">
        <f t="shared" si="1"/>
        <v>7</v>
      </c>
      <c r="C9" s="2">
        <f t="shared" si="1"/>
        <v>14</v>
      </c>
      <c r="D9" s="2">
        <f t="shared" si="1"/>
        <v>21</v>
      </c>
      <c r="E9" s="2">
        <f t="shared" si="1"/>
        <v>28</v>
      </c>
      <c r="F9" s="2">
        <f t="shared" si="1"/>
        <v>35</v>
      </c>
      <c r="G9" s="2">
        <f t="shared" si="1"/>
        <v>42</v>
      </c>
      <c r="H9" s="2">
        <f t="shared" si="1"/>
        <v>49</v>
      </c>
      <c r="I9" s="2">
        <f t="shared" si="1"/>
        <v>56</v>
      </c>
      <c r="J9" s="2">
        <f t="shared" si="1"/>
        <v>63</v>
      </c>
      <c r="K9" s="2">
        <f t="shared" si="1"/>
        <v>70</v>
      </c>
    </row>
    <row r="10" spans="1:11" x14ac:dyDescent="0.25">
      <c r="A10" s="1">
        <v>8</v>
      </c>
      <c r="B10" s="2">
        <f t="shared" si="1"/>
        <v>8</v>
      </c>
      <c r="C10" s="2">
        <f t="shared" si="1"/>
        <v>16</v>
      </c>
      <c r="D10" s="2">
        <f t="shared" si="1"/>
        <v>24</v>
      </c>
      <c r="E10" s="2">
        <f t="shared" si="1"/>
        <v>32</v>
      </c>
      <c r="F10" s="2">
        <f t="shared" si="1"/>
        <v>40</v>
      </c>
      <c r="G10" s="2">
        <f t="shared" si="1"/>
        <v>48</v>
      </c>
      <c r="H10" s="2">
        <f t="shared" si="1"/>
        <v>56</v>
      </c>
      <c r="I10" s="2">
        <f t="shared" si="1"/>
        <v>64</v>
      </c>
      <c r="J10" s="2">
        <f t="shared" si="1"/>
        <v>72</v>
      </c>
      <c r="K10" s="2">
        <f t="shared" si="1"/>
        <v>80</v>
      </c>
    </row>
    <row r="11" spans="1:11" x14ac:dyDescent="0.25">
      <c r="A11" s="1">
        <v>9</v>
      </c>
      <c r="B11" s="2">
        <f t="shared" si="1"/>
        <v>9</v>
      </c>
      <c r="C11" s="2">
        <f t="shared" si="1"/>
        <v>18</v>
      </c>
      <c r="D11" s="2">
        <f t="shared" si="1"/>
        <v>27</v>
      </c>
      <c r="E11" s="2">
        <f t="shared" si="1"/>
        <v>36</v>
      </c>
      <c r="F11" s="2">
        <f t="shared" si="1"/>
        <v>45</v>
      </c>
      <c r="G11" s="2">
        <f t="shared" si="1"/>
        <v>54</v>
      </c>
      <c r="H11" s="2">
        <f t="shared" si="1"/>
        <v>63</v>
      </c>
      <c r="I11" s="2">
        <f t="shared" si="1"/>
        <v>72</v>
      </c>
      <c r="J11" s="2">
        <f t="shared" si="1"/>
        <v>81</v>
      </c>
      <c r="K11" s="2">
        <f t="shared" si="1"/>
        <v>90</v>
      </c>
    </row>
    <row r="12" spans="1:11" x14ac:dyDescent="0.25">
      <c r="A12" s="1">
        <v>10</v>
      </c>
      <c r="B12" s="2">
        <f t="shared" si="1"/>
        <v>10</v>
      </c>
      <c r="C12" s="2">
        <f t="shared" si="1"/>
        <v>20</v>
      </c>
      <c r="D12" s="2">
        <f t="shared" si="1"/>
        <v>30</v>
      </c>
      <c r="E12" s="2">
        <f t="shared" si="1"/>
        <v>40</v>
      </c>
      <c r="F12" s="2">
        <f t="shared" si="1"/>
        <v>50</v>
      </c>
      <c r="G12" s="2">
        <f t="shared" si="1"/>
        <v>60</v>
      </c>
      <c r="H12" s="2">
        <f t="shared" si="1"/>
        <v>70</v>
      </c>
      <c r="I12" s="2">
        <f t="shared" si="1"/>
        <v>80</v>
      </c>
      <c r="J12" s="2">
        <f t="shared" si="1"/>
        <v>90</v>
      </c>
      <c r="K12" s="2">
        <f t="shared" si="1"/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F5"/>
  <sheetViews>
    <sheetView workbookViewId="0">
      <selection activeCell="F47" sqref="F47"/>
    </sheetView>
  </sheetViews>
  <sheetFormatPr baseColWidth="10" defaultRowHeight="15" x14ac:dyDescent="0.25"/>
  <cols>
    <col min="1" max="1" width="10.7109375" bestFit="1" customWidth="1"/>
    <col min="2" max="2" width="8.85546875" bestFit="1" customWidth="1"/>
    <col min="3" max="3" width="12.140625" bestFit="1" customWidth="1"/>
    <col min="4" max="4" width="8.42578125" bestFit="1" customWidth="1"/>
    <col min="5" max="5" width="17" bestFit="1" customWidth="1"/>
    <col min="6" max="6" width="17.5703125" bestFit="1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2" t="s">
        <v>8</v>
      </c>
      <c r="B2" s="2">
        <v>200</v>
      </c>
      <c r="C2" s="2">
        <v>800</v>
      </c>
      <c r="D2" s="2" t="s">
        <v>9</v>
      </c>
      <c r="E2" s="6" t="str">
        <f>IF(AND(B2&gt;50, C2&gt;100), "Vente Importante", IF(B2&gt;20, "Vente Moyenne", "Petite Vente"))</f>
        <v>Vente Importante</v>
      </c>
      <c r="F2" s="6">
        <f>IF(AND(D2="Liège", E2="Vente Importante"), 500, IF(E2="Vente Importante", 300, 0))</f>
        <v>300</v>
      </c>
    </row>
    <row r="3" spans="1:6" x14ac:dyDescent="0.25">
      <c r="A3" s="2" t="s">
        <v>10</v>
      </c>
      <c r="B3" s="2">
        <v>30</v>
      </c>
      <c r="C3" s="2">
        <v>50</v>
      </c>
      <c r="D3" s="2" t="s">
        <v>9</v>
      </c>
      <c r="E3" s="6" t="str">
        <f t="shared" ref="E3:E5" si="0">IF(AND(B3&gt;50, C3&gt;100), "Vente Importante", IF(B3&gt;20, "Vente Moyenne", "Petite Vente"))</f>
        <v>Vente Moyenne</v>
      </c>
      <c r="F3" s="6">
        <f t="shared" ref="F3:F5" si="1">IF(AND(D3="Liège", E3="Vente Importante"), 500, IF(E3="Vente Importante", 300, 0))</f>
        <v>0</v>
      </c>
    </row>
    <row r="4" spans="1:6" x14ac:dyDescent="0.25">
      <c r="A4" s="2" t="s">
        <v>11</v>
      </c>
      <c r="B4" s="2">
        <v>15</v>
      </c>
      <c r="C4" s="2">
        <v>40</v>
      </c>
      <c r="D4" s="2" t="s">
        <v>12</v>
      </c>
      <c r="E4" s="6" t="str">
        <f t="shared" si="0"/>
        <v>Petite Vente</v>
      </c>
      <c r="F4" s="6">
        <f t="shared" si="1"/>
        <v>0</v>
      </c>
    </row>
    <row r="5" spans="1:6" x14ac:dyDescent="0.25">
      <c r="A5" s="2" t="s">
        <v>13</v>
      </c>
      <c r="B5" s="2">
        <v>200</v>
      </c>
      <c r="C5" s="2">
        <v>1200</v>
      </c>
      <c r="D5" s="2" t="s">
        <v>12</v>
      </c>
      <c r="E5" s="6" t="str">
        <f t="shared" si="0"/>
        <v>Vente Importante</v>
      </c>
      <c r="F5" s="6">
        <f t="shared" si="1"/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G8"/>
  <sheetViews>
    <sheetView workbookViewId="0">
      <selection activeCell="G18" sqref="G18"/>
    </sheetView>
  </sheetViews>
  <sheetFormatPr baseColWidth="10" defaultRowHeight="15" x14ac:dyDescent="0.25"/>
  <cols>
    <col min="1" max="1" width="12.5703125" bestFit="1" customWidth="1"/>
    <col min="2" max="2" width="12.28515625" bestFit="1" customWidth="1"/>
    <col min="3" max="3" width="15.7109375" bestFit="1" customWidth="1"/>
    <col min="5" max="5" width="14.5703125" bestFit="1" customWidth="1"/>
    <col min="6" max="6" width="16.5703125" bestFit="1" customWidth="1"/>
    <col min="7" max="7" width="12" bestFit="1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0" t="s">
        <v>17</v>
      </c>
      <c r="E1" s="8" t="s">
        <v>30</v>
      </c>
      <c r="F1" s="9" t="s">
        <v>31</v>
      </c>
      <c r="G1" s="15">
        <f>SUM(E2:E100)</f>
        <v>25360</v>
      </c>
    </row>
    <row r="2" spans="1:7" x14ac:dyDescent="0.25">
      <c r="A2" s="2" t="s">
        <v>18</v>
      </c>
      <c r="B2" s="2" t="s">
        <v>8</v>
      </c>
      <c r="C2" s="2">
        <v>50</v>
      </c>
      <c r="D2" s="12">
        <f>VLOOKUP(A2, Prix!$A$2:$B$98, 2, FALSE)</f>
        <v>100</v>
      </c>
      <c r="E2" s="14">
        <f>PRODUCT(D2,C2)</f>
        <v>5000</v>
      </c>
    </row>
    <row r="3" spans="1:7" x14ac:dyDescent="0.25">
      <c r="A3" s="2" t="s">
        <v>19</v>
      </c>
      <c r="B3" s="2" t="s">
        <v>25</v>
      </c>
      <c r="C3" s="2">
        <v>100</v>
      </c>
      <c r="D3" s="12">
        <f>VLOOKUP(A3, Prix!$A$2:$B$98, 2, FALSE)</f>
        <v>1</v>
      </c>
      <c r="E3" s="14">
        <f t="shared" ref="E3:E8" si="0">PRODUCT(D3,C3)</f>
        <v>100</v>
      </c>
    </row>
    <row r="4" spans="1:7" x14ac:dyDescent="0.25">
      <c r="A4" s="2" t="s">
        <v>20</v>
      </c>
      <c r="B4" s="2" t="s">
        <v>10</v>
      </c>
      <c r="C4" s="2">
        <v>20</v>
      </c>
      <c r="D4" s="12">
        <f>VLOOKUP(A4, Prix!$A$2:$B$98, 2, FALSE)</f>
        <v>5</v>
      </c>
      <c r="E4" s="14">
        <f t="shared" si="0"/>
        <v>100</v>
      </c>
    </row>
    <row r="5" spans="1:7" x14ac:dyDescent="0.25">
      <c r="A5" s="2" t="s">
        <v>21</v>
      </c>
      <c r="B5" s="2" t="s">
        <v>11</v>
      </c>
      <c r="C5" s="2">
        <v>10</v>
      </c>
      <c r="D5" s="12">
        <f>VLOOKUP(A5, Prix!$A$2:$B$98, 2, FALSE)</f>
        <v>5</v>
      </c>
      <c r="E5" s="14">
        <f t="shared" si="0"/>
        <v>50</v>
      </c>
    </row>
    <row r="6" spans="1:7" x14ac:dyDescent="0.25">
      <c r="A6" s="2" t="s">
        <v>22</v>
      </c>
      <c r="B6" s="2" t="s">
        <v>13</v>
      </c>
      <c r="C6" s="2">
        <v>40</v>
      </c>
      <c r="D6" s="12">
        <f>VLOOKUP(A6, Prix!$A$2:$B$98, 2, FALSE)</f>
        <v>500</v>
      </c>
      <c r="E6" s="14">
        <f t="shared" si="0"/>
        <v>20000</v>
      </c>
    </row>
    <row r="7" spans="1:7" x14ac:dyDescent="0.25">
      <c r="A7" s="2" t="s">
        <v>23</v>
      </c>
      <c r="B7" s="2" t="s">
        <v>26</v>
      </c>
      <c r="C7" s="2">
        <v>5</v>
      </c>
      <c r="D7" s="12">
        <f>VLOOKUP(A7, Prix!$A$2:$B$98, 2, FALSE)</f>
        <v>20</v>
      </c>
      <c r="E7" s="14">
        <f t="shared" si="0"/>
        <v>100</v>
      </c>
    </row>
    <row r="8" spans="1:7" x14ac:dyDescent="0.25">
      <c r="A8" s="2" t="s">
        <v>24</v>
      </c>
      <c r="B8" s="2" t="s">
        <v>27</v>
      </c>
      <c r="C8" s="2">
        <v>1</v>
      </c>
      <c r="D8" s="12">
        <f>VLOOKUP(A8, Prix!$A$2:$B$98, 2, FALSE)</f>
        <v>10</v>
      </c>
      <c r="E8" s="14">
        <f t="shared" si="0"/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15"/>
  <sheetViews>
    <sheetView workbookViewId="0">
      <selection sqref="A1:B8"/>
    </sheetView>
  </sheetViews>
  <sheetFormatPr baseColWidth="10" defaultRowHeight="15" x14ac:dyDescent="0.25"/>
  <cols>
    <col min="1" max="1" width="12.5703125" bestFit="1" customWidth="1"/>
    <col min="2" max="2" width="9.5703125" customWidth="1"/>
  </cols>
  <sheetData>
    <row r="1" spans="1:4" x14ac:dyDescent="0.25">
      <c r="A1" s="1" t="s">
        <v>14</v>
      </c>
      <c r="B1" s="1" t="s">
        <v>17</v>
      </c>
      <c r="C1" s="11" t="s">
        <v>28</v>
      </c>
      <c r="D1" s="14" t="s">
        <v>29</v>
      </c>
    </row>
    <row r="2" spans="1:4" x14ac:dyDescent="0.25">
      <c r="A2" s="2" t="s">
        <v>18</v>
      </c>
      <c r="B2" s="7">
        <v>100</v>
      </c>
      <c r="C2" s="11" t="str">
        <f>INDEX(Produits!$B$2:$B$100, MATCH(A2, Produits!$A$2:$A$100, 0))</f>
        <v>Ecran</v>
      </c>
      <c r="D2" s="14">
        <f>INDEX(Produits!$C$2:$C$100, MATCH(A2, Produits!$A$2:$A$100, 0))</f>
        <v>50</v>
      </c>
    </row>
    <row r="3" spans="1:4" x14ac:dyDescent="0.25">
      <c r="A3" s="2" t="s">
        <v>19</v>
      </c>
      <c r="B3" s="7">
        <v>1</v>
      </c>
      <c r="C3" s="11" t="str">
        <f>INDEX(Produits!$B$2:$B$100, MATCH(A3, Produits!$A$2:$A$100, 0))</f>
        <v>Cable</v>
      </c>
      <c r="D3" s="14">
        <f>INDEX(Produits!$C$2:$C$100, MATCH(A3, Produits!$A$2:$A$100, 0))</f>
        <v>100</v>
      </c>
    </row>
    <row r="4" spans="1:4" x14ac:dyDescent="0.25">
      <c r="A4" s="2" t="s">
        <v>20</v>
      </c>
      <c r="B4" s="7">
        <v>5</v>
      </c>
      <c r="C4" s="11" t="str">
        <f>INDEX(Produits!$B$2:$B$100, MATCH(A4, Produits!$A$2:$A$100, 0))</f>
        <v>Clavier</v>
      </c>
      <c r="D4" s="14">
        <f>INDEX(Produits!$C$2:$C$100, MATCH(A4, Produits!$A$2:$A$100, 0))</f>
        <v>20</v>
      </c>
    </row>
    <row r="5" spans="1:4" x14ac:dyDescent="0.25">
      <c r="A5" s="2" t="s">
        <v>21</v>
      </c>
      <c r="B5" s="7">
        <v>5</v>
      </c>
      <c r="C5" s="11" t="str">
        <f>INDEX(Produits!$B$2:$B$100, MATCH(A5, Produits!$A$2:$A$100, 0))</f>
        <v>Souris</v>
      </c>
      <c r="D5" s="14">
        <f>INDEX(Produits!$C$2:$C$100, MATCH(A5, Produits!$A$2:$A$100, 0))</f>
        <v>10</v>
      </c>
    </row>
    <row r="6" spans="1:4" x14ac:dyDescent="0.25">
      <c r="A6" s="2" t="s">
        <v>22</v>
      </c>
      <c r="B6" s="7">
        <v>500</v>
      </c>
      <c r="C6" s="11" t="str">
        <f>INDEX(Produits!$B$2:$B$100, MATCH(A6, Produits!$A$2:$A$100, 0))</f>
        <v>Ordinateur</v>
      </c>
      <c r="D6" s="14">
        <f>INDEX(Produits!$C$2:$C$100, MATCH(A6, Produits!$A$2:$A$100, 0))</f>
        <v>40</v>
      </c>
    </row>
    <row r="7" spans="1:4" x14ac:dyDescent="0.25">
      <c r="A7" s="2" t="s">
        <v>23</v>
      </c>
      <c r="B7" s="7">
        <v>20</v>
      </c>
      <c r="C7" s="11" t="str">
        <f>INDEX(Produits!$B$2:$B$100, MATCH(A7, Produits!$A$2:$A$100, 0))</f>
        <v>Casque</v>
      </c>
      <c r="D7" s="14">
        <f>INDEX(Produits!$C$2:$C$100, MATCH(A7, Produits!$A$2:$A$100, 0))</f>
        <v>5</v>
      </c>
    </row>
    <row r="8" spans="1:4" x14ac:dyDescent="0.25">
      <c r="A8" s="2" t="s">
        <v>24</v>
      </c>
      <c r="B8" s="7">
        <v>10</v>
      </c>
      <c r="C8" s="11" t="str">
        <f>INDEX(Produits!$B$2:$B$100, MATCH(A8, Produits!$A$2:$A$100, 0))</f>
        <v>Micro</v>
      </c>
      <c r="D8" s="14">
        <f>INDEX(Produits!$C$2:$C$100, MATCH(A8, Produits!$A$2:$A$100, 0))</f>
        <v>1</v>
      </c>
    </row>
    <row r="9" spans="1:4" x14ac:dyDescent="0.25">
      <c r="A9" s="13" t="s">
        <v>24</v>
      </c>
      <c r="C9" s="14" t="str">
        <f>INDEX(Produits!$B$2:$B$100, MATCH(A9, Produits!$A$2:$A$100, 0))</f>
        <v>Micro</v>
      </c>
      <c r="D9" s="14">
        <f>INDEX(Produits!$C$2:$C$100, MATCH(A9, Produits!$A$2:$A$100, 0))</f>
        <v>1</v>
      </c>
    </row>
    <row r="10" spans="1:4" x14ac:dyDescent="0.25">
      <c r="A10" s="13" t="s">
        <v>23</v>
      </c>
      <c r="C10" s="14" t="str">
        <f>INDEX(Produits!$B$2:$B$100, MATCH(A10, Produits!$A$2:$A$100, 0))</f>
        <v>Casque</v>
      </c>
      <c r="D10" s="14">
        <f>INDEX(Produits!$C$2:$C$100, MATCH(A10, Produits!$A$2:$A$100, 0))</f>
        <v>5</v>
      </c>
    </row>
    <row r="11" spans="1:4" x14ac:dyDescent="0.25">
      <c r="A11" s="13" t="s">
        <v>22</v>
      </c>
      <c r="C11" s="14" t="str">
        <f>INDEX(Produits!$B$2:$B$100, MATCH(A11, Produits!$A$2:$A$100, 0))</f>
        <v>Ordinateur</v>
      </c>
      <c r="D11" s="14">
        <f>INDEX(Produits!$C$2:$C$100, MATCH(A11, Produits!$A$2:$A$100, 0))</f>
        <v>40</v>
      </c>
    </row>
    <row r="12" spans="1:4" x14ac:dyDescent="0.25">
      <c r="A12" s="13" t="s">
        <v>21</v>
      </c>
      <c r="C12" s="14" t="str">
        <f>INDEX(Produits!$B$2:$B$100, MATCH(A12, Produits!$A$2:$A$100, 0))</f>
        <v>Souris</v>
      </c>
      <c r="D12" s="14">
        <f>INDEX(Produits!$C$2:$C$100, MATCH(A12, Produits!$A$2:$A$100, 0))</f>
        <v>10</v>
      </c>
    </row>
    <row r="13" spans="1:4" x14ac:dyDescent="0.25">
      <c r="A13" s="13" t="s">
        <v>20</v>
      </c>
      <c r="C13" s="14" t="str">
        <f>INDEX(Produits!$B$2:$B$100, MATCH(A13, Produits!$A$2:$A$100, 0))</f>
        <v>Clavier</v>
      </c>
      <c r="D13" s="14">
        <f>INDEX(Produits!$C$2:$C$100, MATCH(A13, Produits!$A$2:$A$100, 0))</f>
        <v>20</v>
      </c>
    </row>
    <row r="14" spans="1:4" x14ac:dyDescent="0.25">
      <c r="A14" s="13" t="s">
        <v>19</v>
      </c>
      <c r="C14" s="14" t="str">
        <f>INDEX(Produits!$B$2:$B$100, MATCH(A14, Produits!$A$2:$A$100, 0))</f>
        <v>Cable</v>
      </c>
      <c r="D14" s="14">
        <f>INDEX(Produits!$C$2:$C$100, MATCH(A14, Produits!$A$2:$A$100, 0))</f>
        <v>100</v>
      </c>
    </row>
    <row r="15" spans="1:4" x14ac:dyDescent="0.25">
      <c r="A15" s="13" t="s">
        <v>18</v>
      </c>
      <c r="C15" s="14" t="str">
        <f>INDEX(Produits!$B$2:$B$100, MATCH(A15, Produits!$A$2:$A$100, 0))</f>
        <v>Ecran</v>
      </c>
      <c r="D15" s="14">
        <f>INDEX(Produits!$C$2:$C$100, MATCH(A15, Produits!$A$2:$A$100, 0))</f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0" tint="-0.34998626667073579"/>
  </sheetPr>
  <dimension ref="A1:G118"/>
  <sheetViews>
    <sheetView workbookViewId="0">
      <selection activeCell="D157" sqref="D157"/>
    </sheetView>
  </sheetViews>
  <sheetFormatPr baseColWidth="10" defaultRowHeight="15" x14ac:dyDescent="0.25"/>
  <cols>
    <col min="1" max="1" width="12" bestFit="1" customWidth="1"/>
    <col min="3" max="3" width="51.28515625" bestFit="1" customWidth="1"/>
    <col min="4" max="4" width="39.7109375" bestFit="1" customWidth="1"/>
    <col min="5" max="5" width="6.42578125" bestFit="1" customWidth="1"/>
    <col min="7" max="7" width="16" customWidth="1"/>
  </cols>
  <sheetData>
    <row r="1" spans="1:7" ht="33.75" x14ac:dyDescent="0.5">
      <c r="A1" s="35" t="s">
        <v>301</v>
      </c>
      <c r="B1" s="35"/>
      <c r="C1" s="35"/>
      <c r="D1" s="35"/>
      <c r="E1" s="35"/>
      <c r="F1" s="35"/>
      <c r="G1" s="35"/>
    </row>
    <row r="2" spans="1:7" ht="34.5" customHeight="1" thickBot="1" x14ac:dyDescent="0.3">
      <c r="A2" s="33" t="s">
        <v>300</v>
      </c>
      <c r="B2" s="33" t="s">
        <v>299</v>
      </c>
      <c r="C2" s="33" t="s">
        <v>298</v>
      </c>
      <c r="D2" s="33" t="s">
        <v>297</v>
      </c>
      <c r="E2" s="33" t="s">
        <v>296</v>
      </c>
      <c r="F2" s="33" t="s">
        <v>295</v>
      </c>
      <c r="G2" s="33" t="s">
        <v>294</v>
      </c>
    </row>
    <row r="3" spans="1:7" ht="16.5" hidden="1" thickTop="1" x14ac:dyDescent="0.25">
      <c r="A3" s="21">
        <v>1</v>
      </c>
      <c r="B3" s="20">
        <v>5</v>
      </c>
      <c r="C3" s="32" t="s">
        <v>293</v>
      </c>
      <c r="D3" s="32" t="s">
        <v>292</v>
      </c>
      <c r="E3" s="31">
        <v>1332</v>
      </c>
      <c r="F3" s="30" t="s">
        <v>291</v>
      </c>
      <c r="G3" s="29">
        <v>121</v>
      </c>
    </row>
    <row r="4" spans="1:7" ht="16.5" hidden="1" thickTop="1" x14ac:dyDescent="0.25">
      <c r="A4" s="21">
        <v>2</v>
      </c>
      <c r="B4" s="20">
        <v>4</v>
      </c>
      <c r="C4" s="25" t="s">
        <v>290</v>
      </c>
      <c r="D4" s="25" t="s">
        <v>289</v>
      </c>
      <c r="E4" s="24">
        <v>1300</v>
      </c>
      <c r="F4" s="23" t="s">
        <v>288</v>
      </c>
      <c r="G4" s="22">
        <v>102</v>
      </c>
    </row>
    <row r="5" spans="1:7" ht="16.5" hidden="1" thickTop="1" x14ac:dyDescent="0.25">
      <c r="A5" s="21">
        <v>3</v>
      </c>
      <c r="B5" s="20">
        <v>4</v>
      </c>
      <c r="C5" s="25" t="s">
        <v>287</v>
      </c>
      <c r="D5" s="25" t="s">
        <v>286</v>
      </c>
      <c r="E5" s="24">
        <v>1342</v>
      </c>
      <c r="F5" s="23" t="s">
        <v>285</v>
      </c>
      <c r="G5" s="22">
        <v>78</v>
      </c>
    </row>
    <row r="6" spans="1:7" ht="16.5" hidden="1" thickTop="1" x14ac:dyDescent="0.25">
      <c r="A6" s="21">
        <v>4</v>
      </c>
      <c r="B6" s="20">
        <v>4</v>
      </c>
      <c r="C6" s="25" t="s">
        <v>284</v>
      </c>
      <c r="D6" s="25" t="s">
        <v>283</v>
      </c>
      <c r="E6" s="24">
        <v>1410</v>
      </c>
      <c r="F6" s="23" t="s">
        <v>282</v>
      </c>
      <c r="G6" s="22">
        <v>79</v>
      </c>
    </row>
    <row r="7" spans="1:7" ht="16.5" hidden="1" thickTop="1" x14ac:dyDescent="0.25">
      <c r="A7" s="21">
        <v>5</v>
      </c>
      <c r="B7" s="20">
        <v>4</v>
      </c>
      <c r="C7" s="25" t="s">
        <v>281</v>
      </c>
      <c r="D7" s="25" t="s">
        <v>280</v>
      </c>
      <c r="E7" s="24">
        <v>7061</v>
      </c>
      <c r="F7" s="23" t="s">
        <v>279</v>
      </c>
      <c r="G7" s="22">
        <v>75</v>
      </c>
    </row>
    <row r="8" spans="1:7" ht="16.5" hidden="1" thickTop="1" x14ac:dyDescent="0.25">
      <c r="A8" s="21">
        <v>6</v>
      </c>
      <c r="B8" s="20">
        <v>4</v>
      </c>
      <c r="C8" s="25" t="s">
        <v>278</v>
      </c>
      <c r="D8" s="25" t="s">
        <v>277</v>
      </c>
      <c r="E8" s="24">
        <v>4900</v>
      </c>
      <c r="F8" s="23" t="s">
        <v>276</v>
      </c>
      <c r="G8" s="22">
        <v>98</v>
      </c>
    </row>
    <row r="9" spans="1:7" ht="16.5" hidden="1" thickTop="1" x14ac:dyDescent="0.25">
      <c r="A9" s="21">
        <v>7</v>
      </c>
      <c r="B9" s="20">
        <v>4</v>
      </c>
      <c r="C9" s="25" t="s">
        <v>275</v>
      </c>
      <c r="D9" s="25" t="s">
        <v>274</v>
      </c>
      <c r="E9" s="24">
        <v>4040</v>
      </c>
      <c r="F9" s="23" t="s">
        <v>273</v>
      </c>
      <c r="G9" s="22">
        <v>96</v>
      </c>
    </row>
    <row r="10" spans="1:7" ht="16.5" hidden="1" thickTop="1" x14ac:dyDescent="0.25">
      <c r="A10" s="21">
        <v>8</v>
      </c>
      <c r="B10" s="20">
        <v>4</v>
      </c>
      <c r="C10" s="25" t="s">
        <v>272</v>
      </c>
      <c r="D10" s="25" t="s">
        <v>271</v>
      </c>
      <c r="E10" s="24">
        <v>4000</v>
      </c>
      <c r="F10" s="23" t="s">
        <v>12</v>
      </c>
      <c r="G10" s="22">
        <v>149</v>
      </c>
    </row>
    <row r="11" spans="1:7" ht="16.5" hidden="1" thickTop="1" x14ac:dyDescent="0.25">
      <c r="A11" s="21">
        <v>9</v>
      </c>
      <c r="B11" s="20">
        <v>4</v>
      </c>
      <c r="C11" s="25" t="s">
        <v>270</v>
      </c>
      <c r="D11" s="25" t="s">
        <v>269</v>
      </c>
      <c r="E11" s="24">
        <v>4020</v>
      </c>
      <c r="F11" s="23" t="s">
        <v>12</v>
      </c>
      <c r="G11" s="22">
        <v>219</v>
      </c>
    </row>
    <row r="12" spans="1:7" ht="16.5" hidden="1" thickTop="1" x14ac:dyDescent="0.25">
      <c r="A12" s="21">
        <v>10</v>
      </c>
      <c r="B12" s="20">
        <v>4</v>
      </c>
      <c r="C12" s="25" t="s">
        <v>268</v>
      </c>
      <c r="D12" s="25" t="s">
        <v>267</v>
      </c>
      <c r="E12" s="24">
        <v>4950</v>
      </c>
      <c r="F12" s="23" t="s">
        <v>266</v>
      </c>
      <c r="G12" s="22">
        <v>70</v>
      </c>
    </row>
    <row r="13" spans="1:7" ht="16.5" hidden="1" thickTop="1" x14ac:dyDescent="0.25">
      <c r="A13" s="21">
        <v>11</v>
      </c>
      <c r="B13" s="20">
        <v>4</v>
      </c>
      <c r="C13" s="25" t="s">
        <v>265</v>
      </c>
      <c r="D13" s="25" t="s">
        <v>264</v>
      </c>
      <c r="E13" s="24">
        <v>4000</v>
      </c>
      <c r="F13" s="23" t="s">
        <v>12</v>
      </c>
      <c r="G13" s="22">
        <v>105</v>
      </c>
    </row>
    <row r="14" spans="1:7" ht="16.5" hidden="1" thickTop="1" x14ac:dyDescent="0.25">
      <c r="A14" s="21">
        <v>12</v>
      </c>
      <c r="B14" s="20">
        <v>4</v>
      </c>
      <c r="C14" s="25" t="s">
        <v>263</v>
      </c>
      <c r="D14" s="25" t="s">
        <v>262</v>
      </c>
      <c r="E14" s="24">
        <v>6700</v>
      </c>
      <c r="F14" s="23" t="s">
        <v>261</v>
      </c>
      <c r="G14" s="22">
        <v>78</v>
      </c>
    </row>
    <row r="15" spans="1:7" ht="16.5" hidden="1" thickTop="1" x14ac:dyDescent="0.25">
      <c r="A15" s="21">
        <v>13</v>
      </c>
      <c r="B15" s="20">
        <v>4</v>
      </c>
      <c r="C15" s="25" t="s">
        <v>260</v>
      </c>
      <c r="D15" s="25" t="s">
        <v>259</v>
      </c>
      <c r="E15" s="24">
        <v>6940</v>
      </c>
      <c r="F15" s="23" t="s">
        <v>258</v>
      </c>
      <c r="G15" s="22">
        <v>111</v>
      </c>
    </row>
    <row r="16" spans="1:7" ht="16.5" hidden="1" thickTop="1" x14ac:dyDescent="0.25">
      <c r="A16" s="21">
        <v>14</v>
      </c>
      <c r="B16" s="20">
        <v>4</v>
      </c>
      <c r="C16" s="25" t="s">
        <v>257</v>
      </c>
      <c r="D16" s="25" t="s">
        <v>256</v>
      </c>
      <c r="E16" s="24">
        <v>5100</v>
      </c>
      <c r="F16" s="23" t="s">
        <v>255</v>
      </c>
      <c r="G16" s="22">
        <v>110</v>
      </c>
    </row>
    <row r="17" spans="1:7" ht="16.5" hidden="1" thickTop="1" x14ac:dyDescent="0.25">
      <c r="A17" s="21">
        <v>15</v>
      </c>
      <c r="B17" s="20">
        <v>4</v>
      </c>
      <c r="C17" s="25" t="s">
        <v>83</v>
      </c>
      <c r="D17" s="25" t="s">
        <v>254</v>
      </c>
      <c r="E17" s="24">
        <v>6000</v>
      </c>
      <c r="F17" s="23" t="s">
        <v>251</v>
      </c>
      <c r="G17" s="22">
        <v>57</v>
      </c>
    </row>
    <row r="18" spans="1:7" ht="16.5" hidden="1" thickTop="1" x14ac:dyDescent="0.25">
      <c r="A18" s="21">
        <v>16</v>
      </c>
      <c r="B18" s="20">
        <v>4</v>
      </c>
      <c r="C18" s="25" t="s">
        <v>253</v>
      </c>
      <c r="D18" s="25" t="s">
        <v>252</v>
      </c>
      <c r="E18" s="24">
        <v>6000</v>
      </c>
      <c r="F18" s="23" t="s">
        <v>251</v>
      </c>
      <c r="G18" s="22">
        <v>65</v>
      </c>
    </row>
    <row r="19" spans="1:7" ht="16.5" hidden="1" thickTop="1" x14ac:dyDescent="0.25">
      <c r="A19" s="21">
        <v>17</v>
      </c>
      <c r="B19" s="20">
        <v>4</v>
      </c>
      <c r="C19" s="25" t="s">
        <v>250</v>
      </c>
      <c r="D19" s="25" t="s">
        <v>249</v>
      </c>
      <c r="E19" s="24">
        <v>7000</v>
      </c>
      <c r="F19" s="23" t="s">
        <v>248</v>
      </c>
      <c r="G19" s="22">
        <v>67</v>
      </c>
    </row>
    <row r="20" spans="1:7" ht="16.5" hidden="1" thickTop="1" x14ac:dyDescent="0.25">
      <c r="A20" s="21">
        <v>18</v>
      </c>
      <c r="B20" s="20">
        <v>3</v>
      </c>
      <c r="C20" s="25" t="s">
        <v>247</v>
      </c>
      <c r="D20" s="25" t="s">
        <v>246</v>
      </c>
      <c r="E20" s="24">
        <v>1400</v>
      </c>
      <c r="F20" s="23" t="s">
        <v>245</v>
      </c>
      <c r="G20" s="22">
        <v>115</v>
      </c>
    </row>
    <row r="21" spans="1:7" ht="16.5" hidden="1" thickTop="1" x14ac:dyDescent="0.25">
      <c r="A21" s="21">
        <v>19</v>
      </c>
      <c r="B21" s="20">
        <v>3</v>
      </c>
      <c r="C21" s="25" t="s">
        <v>244</v>
      </c>
      <c r="D21" s="25" t="s">
        <v>243</v>
      </c>
      <c r="E21" s="24">
        <v>7500</v>
      </c>
      <c r="F21" s="23" t="s">
        <v>242</v>
      </c>
      <c r="G21" s="22">
        <v>60</v>
      </c>
    </row>
    <row r="22" spans="1:7" ht="16.5" hidden="1" thickTop="1" x14ac:dyDescent="0.25">
      <c r="A22" s="21">
        <v>20</v>
      </c>
      <c r="B22" s="20">
        <v>3</v>
      </c>
      <c r="C22" s="25" t="s">
        <v>241</v>
      </c>
      <c r="D22" s="25" t="s">
        <v>240</v>
      </c>
      <c r="E22" s="24">
        <v>4000</v>
      </c>
      <c r="F22" s="23" t="s">
        <v>12</v>
      </c>
      <c r="G22" s="22">
        <v>78</v>
      </c>
    </row>
    <row r="23" spans="1:7" ht="16.5" hidden="1" thickTop="1" x14ac:dyDescent="0.25">
      <c r="A23" s="21">
        <v>21</v>
      </c>
      <c r="B23" s="20">
        <v>5</v>
      </c>
      <c r="C23" s="27" t="s">
        <v>239</v>
      </c>
      <c r="D23" s="27" t="s">
        <v>238</v>
      </c>
      <c r="E23" s="24">
        <v>1000</v>
      </c>
      <c r="F23" s="23" t="s">
        <v>148</v>
      </c>
      <c r="G23" s="26">
        <v>429</v>
      </c>
    </row>
    <row r="24" spans="1:7" ht="16.5" hidden="1" thickTop="1" x14ac:dyDescent="0.25">
      <c r="A24" s="21">
        <v>22</v>
      </c>
      <c r="B24" s="20">
        <v>5</v>
      </c>
      <c r="C24" s="27" t="s">
        <v>237</v>
      </c>
      <c r="D24" s="27" t="s">
        <v>236</v>
      </c>
      <c r="E24" s="24">
        <v>1000</v>
      </c>
      <c r="F24" s="23" t="s">
        <v>148</v>
      </c>
      <c r="G24" s="26">
        <v>224</v>
      </c>
    </row>
    <row r="25" spans="1:7" ht="16.5" hidden="1" thickTop="1" x14ac:dyDescent="0.25">
      <c r="A25" s="21">
        <v>23</v>
      </c>
      <c r="B25" s="20">
        <v>5</v>
      </c>
      <c r="C25" s="27" t="s">
        <v>235</v>
      </c>
      <c r="D25" s="27" t="s">
        <v>234</v>
      </c>
      <c r="E25" s="24">
        <v>1000</v>
      </c>
      <c r="F25" s="23" t="s">
        <v>148</v>
      </c>
      <c r="G25" s="26">
        <v>281</v>
      </c>
    </row>
    <row r="26" spans="1:7" ht="16.5" hidden="1" thickTop="1" x14ac:dyDescent="0.25">
      <c r="A26" s="21">
        <v>24</v>
      </c>
      <c r="B26" s="20">
        <v>5</v>
      </c>
      <c r="C26" s="27" t="s">
        <v>233</v>
      </c>
      <c r="D26" s="27" t="s">
        <v>232</v>
      </c>
      <c r="E26" s="24">
        <v>1000</v>
      </c>
      <c r="F26" s="23" t="s">
        <v>148</v>
      </c>
      <c r="G26" s="26">
        <v>266</v>
      </c>
    </row>
    <row r="27" spans="1:7" ht="16.5" hidden="1" thickTop="1" x14ac:dyDescent="0.25">
      <c r="A27" s="21">
        <v>25</v>
      </c>
      <c r="B27" s="20">
        <v>5</v>
      </c>
      <c r="C27" s="27" t="s">
        <v>231</v>
      </c>
      <c r="D27" s="27" t="s">
        <v>230</v>
      </c>
      <c r="E27" s="24">
        <v>1050</v>
      </c>
      <c r="F27" s="23" t="s">
        <v>148</v>
      </c>
      <c r="G27" s="26">
        <v>269</v>
      </c>
    </row>
    <row r="28" spans="1:7" ht="16.5" hidden="1" thickTop="1" x14ac:dyDescent="0.25">
      <c r="A28" s="21">
        <v>26</v>
      </c>
      <c r="B28" s="20">
        <v>5</v>
      </c>
      <c r="C28" s="27" t="s">
        <v>229</v>
      </c>
      <c r="D28" s="27" t="s">
        <v>228</v>
      </c>
      <c r="E28" s="24">
        <v>1000</v>
      </c>
      <c r="F28" s="23" t="s">
        <v>148</v>
      </c>
      <c r="G28" s="26">
        <v>410</v>
      </c>
    </row>
    <row r="29" spans="1:7" ht="16.5" hidden="1" thickTop="1" x14ac:dyDescent="0.25">
      <c r="A29" s="21">
        <v>27</v>
      </c>
      <c r="B29" s="20">
        <v>5</v>
      </c>
      <c r="C29" s="27" t="s">
        <v>227</v>
      </c>
      <c r="D29" s="27" t="s">
        <v>226</v>
      </c>
      <c r="E29" s="24">
        <v>1210</v>
      </c>
      <c r="F29" s="23" t="s">
        <v>148</v>
      </c>
      <c r="G29" s="26">
        <v>302</v>
      </c>
    </row>
    <row r="30" spans="1:7" ht="16.5" thickTop="1" x14ac:dyDescent="0.25">
      <c r="A30" s="21">
        <v>28</v>
      </c>
      <c r="B30" s="20">
        <v>5</v>
      </c>
      <c r="C30" s="27" t="s">
        <v>225</v>
      </c>
      <c r="D30" s="27" t="s">
        <v>224</v>
      </c>
      <c r="E30" s="24">
        <v>1000</v>
      </c>
      <c r="F30" s="23" t="s">
        <v>148</v>
      </c>
      <c r="G30" s="26">
        <v>183</v>
      </c>
    </row>
    <row r="31" spans="1:7" ht="15.75" hidden="1" x14ac:dyDescent="0.25">
      <c r="A31" s="21">
        <v>29</v>
      </c>
      <c r="B31" s="20">
        <v>5</v>
      </c>
      <c r="C31" s="27" t="s">
        <v>223</v>
      </c>
      <c r="D31" s="27" t="s">
        <v>222</v>
      </c>
      <c r="E31" s="24">
        <v>1210</v>
      </c>
      <c r="F31" s="23" t="s">
        <v>148</v>
      </c>
      <c r="G31" s="26">
        <v>507</v>
      </c>
    </row>
    <row r="32" spans="1:7" ht="15.75" hidden="1" x14ac:dyDescent="0.25">
      <c r="A32" s="21">
        <v>30</v>
      </c>
      <c r="B32" s="20">
        <v>5</v>
      </c>
      <c r="C32" s="28" t="s">
        <v>221</v>
      </c>
      <c r="D32" s="27" t="s">
        <v>220</v>
      </c>
      <c r="E32" s="24">
        <v>1210</v>
      </c>
      <c r="F32" s="23" t="s">
        <v>148</v>
      </c>
      <c r="G32" s="26">
        <v>315</v>
      </c>
    </row>
    <row r="33" spans="1:7" ht="15.75" hidden="1" x14ac:dyDescent="0.25">
      <c r="A33" s="21">
        <v>31</v>
      </c>
      <c r="B33" s="20">
        <v>5</v>
      </c>
      <c r="C33" s="27" t="s">
        <v>219</v>
      </c>
      <c r="D33" s="27" t="s">
        <v>218</v>
      </c>
      <c r="E33" s="24">
        <v>1050</v>
      </c>
      <c r="F33" s="23" t="s">
        <v>148</v>
      </c>
      <c r="G33" s="26">
        <v>257</v>
      </c>
    </row>
    <row r="34" spans="1:7" ht="15.75" hidden="1" x14ac:dyDescent="0.25">
      <c r="A34" s="21">
        <v>32</v>
      </c>
      <c r="B34" s="20">
        <v>4</v>
      </c>
      <c r="C34" s="27" t="s">
        <v>217</v>
      </c>
      <c r="D34" s="27" t="s">
        <v>216</v>
      </c>
      <c r="E34" s="24">
        <v>1000</v>
      </c>
      <c r="F34" s="23" t="s">
        <v>148</v>
      </c>
      <c r="G34" s="26">
        <v>193</v>
      </c>
    </row>
    <row r="35" spans="1:7" ht="15.75" hidden="1" x14ac:dyDescent="0.25">
      <c r="A35" s="21">
        <v>33</v>
      </c>
      <c r="B35" s="20">
        <v>4</v>
      </c>
      <c r="C35" s="27" t="s">
        <v>215</v>
      </c>
      <c r="D35" s="27" t="s">
        <v>214</v>
      </c>
      <c r="E35" s="24">
        <v>1050</v>
      </c>
      <c r="F35" s="23" t="s">
        <v>148</v>
      </c>
      <c r="G35" s="26">
        <v>142</v>
      </c>
    </row>
    <row r="36" spans="1:7" ht="15.75" hidden="1" x14ac:dyDescent="0.25">
      <c r="A36" s="21">
        <v>34</v>
      </c>
      <c r="B36" s="20">
        <v>4</v>
      </c>
      <c r="C36" s="27" t="s">
        <v>213</v>
      </c>
      <c r="D36" s="27" t="s">
        <v>212</v>
      </c>
      <c r="E36" s="24">
        <v>1060</v>
      </c>
      <c r="F36" s="23" t="s">
        <v>148</v>
      </c>
      <c r="G36" s="26">
        <v>200</v>
      </c>
    </row>
    <row r="37" spans="1:7" ht="15.75" hidden="1" x14ac:dyDescent="0.25">
      <c r="A37" s="21">
        <v>35</v>
      </c>
      <c r="B37" s="20">
        <v>4</v>
      </c>
      <c r="C37" s="27" t="s">
        <v>211</v>
      </c>
      <c r="D37" s="27" t="s">
        <v>210</v>
      </c>
      <c r="E37" s="24">
        <v>1210</v>
      </c>
      <c r="F37" s="23" t="s">
        <v>148</v>
      </c>
      <c r="G37" s="26">
        <v>360</v>
      </c>
    </row>
    <row r="38" spans="1:7" ht="15.75" hidden="1" x14ac:dyDescent="0.25">
      <c r="A38" s="21">
        <v>36</v>
      </c>
      <c r="B38" s="20">
        <v>4</v>
      </c>
      <c r="C38" s="27" t="s">
        <v>209</v>
      </c>
      <c r="D38" s="27" t="s">
        <v>208</v>
      </c>
      <c r="E38" s="24">
        <v>1000</v>
      </c>
      <c r="F38" s="23" t="s">
        <v>148</v>
      </c>
      <c r="G38" s="26">
        <v>241</v>
      </c>
    </row>
    <row r="39" spans="1:7" ht="15.75" hidden="1" x14ac:dyDescent="0.25">
      <c r="A39" s="21">
        <v>37</v>
      </c>
      <c r="B39" s="20">
        <v>4</v>
      </c>
      <c r="C39" s="27" t="s">
        <v>207</v>
      </c>
      <c r="D39" s="27" t="s">
        <v>206</v>
      </c>
      <c r="E39" s="24">
        <v>1050</v>
      </c>
      <c r="F39" s="23" t="s">
        <v>148</v>
      </c>
      <c r="G39" s="26">
        <v>99</v>
      </c>
    </row>
    <row r="40" spans="1:7" ht="15.75" hidden="1" x14ac:dyDescent="0.25">
      <c r="A40" s="21">
        <v>38</v>
      </c>
      <c r="B40" s="20">
        <v>4</v>
      </c>
      <c r="C40" s="27" t="s">
        <v>205</v>
      </c>
      <c r="D40" s="27" t="s">
        <v>204</v>
      </c>
      <c r="E40" s="24">
        <v>1000</v>
      </c>
      <c r="F40" s="23" t="s">
        <v>148</v>
      </c>
      <c r="G40" s="26">
        <v>155</v>
      </c>
    </row>
    <row r="41" spans="1:7" ht="15.75" hidden="1" x14ac:dyDescent="0.25">
      <c r="A41" s="21">
        <v>39</v>
      </c>
      <c r="B41" s="20">
        <v>4</v>
      </c>
      <c r="C41" s="27" t="s">
        <v>203</v>
      </c>
      <c r="D41" s="27" t="s">
        <v>202</v>
      </c>
      <c r="E41" s="24">
        <v>1000</v>
      </c>
      <c r="F41" s="23" t="s">
        <v>148</v>
      </c>
      <c r="G41" s="26">
        <v>77</v>
      </c>
    </row>
    <row r="42" spans="1:7" ht="15.75" hidden="1" x14ac:dyDescent="0.25">
      <c r="A42" s="21">
        <v>40</v>
      </c>
      <c r="B42" s="20">
        <v>4</v>
      </c>
      <c r="C42" s="27" t="s">
        <v>201</v>
      </c>
      <c r="D42" s="27" t="s">
        <v>200</v>
      </c>
      <c r="E42" s="24">
        <v>1000</v>
      </c>
      <c r="F42" s="23" t="s">
        <v>148</v>
      </c>
      <c r="G42" s="26">
        <v>133</v>
      </c>
    </row>
    <row r="43" spans="1:7" ht="15.75" hidden="1" x14ac:dyDescent="0.25">
      <c r="A43" s="21">
        <v>41</v>
      </c>
      <c r="B43" s="20">
        <v>4</v>
      </c>
      <c r="C43" s="27" t="s">
        <v>199</v>
      </c>
      <c r="D43" s="27" t="s">
        <v>198</v>
      </c>
      <c r="E43" s="24">
        <v>1000</v>
      </c>
      <c r="F43" s="23" t="s">
        <v>148</v>
      </c>
      <c r="G43" s="26">
        <v>100</v>
      </c>
    </row>
    <row r="44" spans="1:7" ht="15.75" hidden="1" x14ac:dyDescent="0.25">
      <c r="A44" s="21">
        <v>42</v>
      </c>
      <c r="B44" s="20">
        <v>4</v>
      </c>
      <c r="C44" s="27" t="s">
        <v>197</v>
      </c>
      <c r="D44" s="27" t="s">
        <v>196</v>
      </c>
      <c r="E44" s="24">
        <v>1000</v>
      </c>
      <c r="F44" s="23" t="s">
        <v>148</v>
      </c>
      <c r="G44" s="26">
        <v>128</v>
      </c>
    </row>
    <row r="45" spans="1:7" ht="15.75" hidden="1" x14ac:dyDescent="0.25">
      <c r="A45" s="21">
        <v>43</v>
      </c>
      <c r="B45" s="20">
        <v>4</v>
      </c>
      <c r="C45" s="27" t="s">
        <v>195</v>
      </c>
      <c r="D45" s="27" t="s">
        <v>194</v>
      </c>
      <c r="E45" s="24">
        <v>1140</v>
      </c>
      <c r="F45" s="23" t="s">
        <v>148</v>
      </c>
      <c r="G45" s="26">
        <v>120</v>
      </c>
    </row>
    <row r="46" spans="1:7" ht="15.75" hidden="1" x14ac:dyDescent="0.25">
      <c r="A46" s="21">
        <v>44</v>
      </c>
      <c r="B46" s="20">
        <v>4</v>
      </c>
      <c r="C46" s="27" t="s">
        <v>193</v>
      </c>
      <c r="D46" s="27" t="s">
        <v>192</v>
      </c>
      <c r="E46" s="24">
        <v>1000</v>
      </c>
      <c r="F46" s="23" t="s">
        <v>148</v>
      </c>
      <c r="G46" s="26">
        <v>81</v>
      </c>
    </row>
    <row r="47" spans="1:7" ht="15.75" hidden="1" x14ac:dyDescent="0.25">
      <c r="A47" s="21">
        <v>45</v>
      </c>
      <c r="B47" s="20">
        <v>4</v>
      </c>
      <c r="C47" s="27" t="s">
        <v>191</v>
      </c>
      <c r="D47" s="27" t="s">
        <v>190</v>
      </c>
      <c r="E47" s="24">
        <v>1060</v>
      </c>
      <c r="F47" s="23" t="s">
        <v>148</v>
      </c>
      <c r="G47" s="26">
        <v>80</v>
      </c>
    </row>
    <row r="48" spans="1:7" ht="15.75" hidden="1" x14ac:dyDescent="0.25">
      <c r="A48" s="21">
        <v>46</v>
      </c>
      <c r="B48" s="20">
        <v>4</v>
      </c>
      <c r="C48" s="27" t="s">
        <v>189</v>
      </c>
      <c r="D48" s="27" t="s">
        <v>188</v>
      </c>
      <c r="E48" s="24">
        <v>1210</v>
      </c>
      <c r="F48" s="23" t="s">
        <v>148</v>
      </c>
      <c r="G48" s="26">
        <v>101</v>
      </c>
    </row>
    <row r="49" spans="1:7" ht="15.75" hidden="1" x14ac:dyDescent="0.25">
      <c r="A49" s="21">
        <v>47</v>
      </c>
      <c r="B49" s="20">
        <v>4</v>
      </c>
      <c r="C49" s="27" t="s">
        <v>187</v>
      </c>
      <c r="D49" s="27" t="s">
        <v>186</v>
      </c>
      <c r="E49" s="24">
        <v>1000</v>
      </c>
      <c r="F49" s="23" t="s">
        <v>148</v>
      </c>
      <c r="G49" s="26">
        <v>88</v>
      </c>
    </row>
    <row r="50" spans="1:7" ht="15.75" hidden="1" x14ac:dyDescent="0.25">
      <c r="A50" s="21">
        <v>48</v>
      </c>
      <c r="B50" s="20">
        <v>4</v>
      </c>
      <c r="C50" s="27" t="s">
        <v>185</v>
      </c>
      <c r="D50" s="27" t="s">
        <v>184</v>
      </c>
      <c r="E50" s="24">
        <v>1831</v>
      </c>
      <c r="F50" s="23" t="s">
        <v>157</v>
      </c>
      <c r="G50" s="26">
        <v>125</v>
      </c>
    </row>
    <row r="51" spans="1:7" ht="15.75" hidden="1" x14ac:dyDescent="0.25">
      <c r="A51" s="21">
        <v>49</v>
      </c>
      <c r="B51" s="20">
        <v>4</v>
      </c>
      <c r="C51" s="27" t="s">
        <v>183</v>
      </c>
      <c r="D51" s="27" t="s">
        <v>182</v>
      </c>
      <c r="E51" s="24">
        <v>1831</v>
      </c>
      <c r="F51" s="23" t="s">
        <v>157</v>
      </c>
      <c r="G51" s="26">
        <v>310</v>
      </c>
    </row>
    <row r="52" spans="1:7" ht="15.75" hidden="1" x14ac:dyDescent="0.25">
      <c r="A52" s="21">
        <v>50</v>
      </c>
      <c r="B52" s="20">
        <v>4</v>
      </c>
      <c r="C52" s="27" t="s">
        <v>181</v>
      </c>
      <c r="D52" s="27" t="s">
        <v>180</v>
      </c>
      <c r="E52" s="24">
        <v>1040</v>
      </c>
      <c r="F52" s="23" t="s">
        <v>148</v>
      </c>
      <c r="G52" s="26">
        <v>86</v>
      </c>
    </row>
    <row r="53" spans="1:7" ht="15.75" hidden="1" x14ac:dyDescent="0.25">
      <c r="A53" s="21">
        <v>51</v>
      </c>
      <c r="B53" s="20">
        <v>4</v>
      </c>
      <c r="C53" s="25" t="s">
        <v>179</v>
      </c>
      <c r="D53" s="27" t="s">
        <v>178</v>
      </c>
      <c r="E53" s="24">
        <v>1640</v>
      </c>
      <c r="F53" s="23" t="s">
        <v>177</v>
      </c>
      <c r="G53" s="26">
        <v>84</v>
      </c>
    </row>
    <row r="54" spans="1:7" ht="15.75" hidden="1" x14ac:dyDescent="0.25">
      <c r="A54" s="21">
        <v>52</v>
      </c>
      <c r="B54" s="20">
        <v>3</v>
      </c>
      <c r="C54" s="27" t="s">
        <v>176</v>
      </c>
      <c r="D54" s="27" t="s">
        <v>175</v>
      </c>
      <c r="E54" s="24">
        <v>1853</v>
      </c>
      <c r="F54" s="23" t="s">
        <v>174</v>
      </c>
      <c r="G54" s="26">
        <v>75</v>
      </c>
    </row>
    <row r="55" spans="1:7" ht="15.75" hidden="1" x14ac:dyDescent="0.25">
      <c r="A55" s="21">
        <v>53</v>
      </c>
      <c r="B55" s="20">
        <v>3</v>
      </c>
      <c r="C55" s="27" t="s">
        <v>173</v>
      </c>
      <c r="D55" s="27" t="s">
        <v>172</v>
      </c>
      <c r="E55" s="24">
        <v>1832</v>
      </c>
      <c r="F55" s="23" t="s">
        <v>157</v>
      </c>
      <c r="G55" s="26">
        <v>205</v>
      </c>
    </row>
    <row r="56" spans="1:7" ht="15.75" hidden="1" x14ac:dyDescent="0.25">
      <c r="A56" s="21">
        <v>54</v>
      </c>
      <c r="B56" s="20">
        <v>3</v>
      </c>
      <c r="C56" s="27" t="s">
        <v>171</v>
      </c>
      <c r="D56" s="27" t="s">
        <v>170</v>
      </c>
      <c r="E56" s="24">
        <v>1000</v>
      </c>
      <c r="F56" s="23" t="s">
        <v>148</v>
      </c>
      <c r="G56" s="26">
        <v>96</v>
      </c>
    </row>
    <row r="57" spans="1:7" ht="15.75" hidden="1" x14ac:dyDescent="0.25">
      <c r="A57" s="21">
        <v>55</v>
      </c>
      <c r="B57" s="20">
        <v>3</v>
      </c>
      <c r="C57" s="27" t="s">
        <v>169</v>
      </c>
      <c r="D57" s="27" t="s">
        <v>168</v>
      </c>
      <c r="E57" s="24">
        <v>1180</v>
      </c>
      <c r="F57" s="23" t="s">
        <v>148</v>
      </c>
      <c r="G57" s="26">
        <v>101</v>
      </c>
    </row>
    <row r="58" spans="1:7" ht="15.75" hidden="1" x14ac:dyDescent="0.25">
      <c r="A58" s="21">
        <v>56</v>
      </c>
      <c r="B58" s="20">
        <v>3</v>
      </c>
      <c r="C58" s="27" t="s">
        <v>167</v>
      </c>
      <c r="D58" s="27" t="s">
        <v>166</v>
      </c>
      <c r="E58" s="24">
        <v>1000</v>
      </c>
      <c r="F58" s="23" t="s">
        <v>148</v>
      </c>
      <c r="G58" s="26">
        <v>180</v>
      </c>
    </row>
    <row r="59" spans="1:7" ht="15.75" hidden="1" x14ac:dyDescent="0.25">
      <c r="A59" s="21">
        <v>57</v>
      </c>
      <c r="B59" s="20">
        <v>3</v>
      </c>
      <c r="C59" s="27" t="s">
        <v>165</v>
      </c>
      <c r="D59" s="27" t="s">
        <v>164</v>
      </c>
      <c r="E59" s="24">
        <v>1000</v>
      </c>
      <c r="F59" s="23" t="s">
        <v>148</v>
      </c>
      <c r="G59" s="26">
        <v>100</v>
      </c>
    </row>
    <row r="60" spans="1:7" ht="15.75" hidden="1" x14ac:dyDescent="0.25">
      <c r="A60" s="21">
        <v>58</v>
      </c>
      <c r="B60" s="20">
        <v>3</v>
      </c>
      <c r="C60" s="27" t="s">
        <v>163</v>
      </c>
      <c r="D60" s="27" t="s">
        <v>162</v>
      </c>
      <c r="E60" s="24">
        <v>1000</v>
      </c>
      <c r="F60" s="23" t="s">
        <v>148</v>
      </c>
      <c r="G60" s="26">
        <v>169</v>
      </c>
    </row>
    <row r="61" spans="1:7" ht="15.75" hidden="1" x14ac:dyDescent="0.25">
      <c r="A61" s="21">
        <v>59</v>
      </c>
      <c r="B61" s="20">
        <v>3</v>
      </c>
      <c r="C61" s="27" t="s">
        <v>161</v>
      </c>
      <c r="D61" s="27" t="s">
        <v>160</v>
      </c>
      <c r="E61" s="24">
        <v>1000</v>
      </c>
      <c r="F61" s="23" t="s">
        <v>148</v>
      </c>
      <c r="G61" s="26">
        <v>235</v>
      </c>
    </row>
    <row r="62" spans="1:7" ht="15.75" hidden="1" x14ac:dyDescent="0.25">
      <c r="A62" s="21">
        <v>60</v>
      </c>
      <c r="B62" s="20">
        <v>3</v>
      </c>
      <c r="C62" s="27" t="s">
        <v>159</v>
      </c>
      <c r="D62" s="27" t="s">
        <v>158</v>
      </c>
      <c r="E62" s="24">
        <v>1881</v>
      </c>
      <c r="F62" s="23" t="s">
        <v>157</v>
      </c>
      <c r="G62" s="26">
        <v>96</v>
      </c>
    </row>
    <row r="63" spans="1:7" ht="15.75" hidden="1" x14ac:dyDescent="0.25">
      <c r="A63" s="21">
        <v>61</v>
      </c>
      <c r="B63" s="20">
        <v>3</v>
      </c>
      <c r="C63" s="27" t="s">
        <v>156</v>
      </c>
      <c r="D63" s="27" t="s">
        <v>155</v>
      </c>
      <c r="E63" s="24">
        <v>1060</v>
      </c>
      <c r="F63" s="23" t="s">
        <v>148</v>
      </c>
      <c r="G63" s="26">
        <v>77</v>
      </c>
    </row>
    <row r="64" spans="1:7" ht="15.75" hidden="1" x14ac:dyDescent="0.25">
      <c r="A64" s="21">
        <v>62</v>
      </c>
      <c r="B64" s="20">
        <v>3</v>
      </c>
      <c r="C64" s="27" t="s">
        <v>83</v>
      </c>
      <c r="D64" s="27" t="s">
        <v>154</v>
      </c>
      <c r="E64" s="24">
        <v>1020</v>
      </c>
      <c r="F64" s="23" t="s">
        <v>148</v>
      </c>
      <c r="G64" s="26">
        <v>79</v>
      </c>
    </row>
    <row r="65" spans="1:7" ht="15.75" hidden="1" x14ac:dyDescent="0.25">
      <c r="A65" s="21">
        <v>63</v>
      </c>
      <c r="B65" s="20">
        <v>3</v>
      </c>
      <c r="C65" s="27" t="s">
        <v>153</v>
      </c>
      <c r="D65" s="27" t="s">
        <v>152</v>
      </c>
      <c r="E65" s="24">
        <v>1620</v>
      </c>
      <c r="F65" s="23" t="s">
        <v>151</v>
      </c>
      <c r="G65" s="26">
        <v>76</v>
      </c>
    </row>
    <row r="66" spans="1:7" ht="15.75" hidden="1" x14ac:dyDescent="0.25">
      <c r="A66" s="21">
        <v>64</v>
      </c>
      <c r="B66" s="20">
        <v>3</v>
      </c>
      <c r="C66" s="27" t="s">
        <v>150</v>
      </c>
      <c r="D66" s="27" t="s">
        <v>149</v>
      </c>
      <c r="E66" s="24">
        <v>1210</v>
      </c>
      <c r="F66" s="23" t="s">
        <v>148</v>
      </c>
      <c r="G66" s="26">
        <v>98</v>
      </c>
    </row>
    <row r="67" spans="1:7" ht="15.75" hidden="1" x14ac:dyDescent="0.25">
      <c r="A67" s="21">
        <v>65</v>
      </c>
      <c r="B67" s="20">
        <v>5</v>
      </c>
      <c r="C67" s="25" t="s">
        <v>147</v>
      </c>
      <c r="D67" s="25" t="s">
        <v>146</v>
      </c>
      <c r="E67" s="24">
        <v>2000</v>
      </c>
      <c r="F67" s="23" t="s">
        <v>111</v>
      </c>
      <c r="G67" s="22">
        <v>178</v>
      </c>
    </row>
    <row r="68" spans="1:7" ht="15.75" hidden="1" x14ac:dyDescent="0.25">
      <c r="A68" s="21">
        <v>66</v>
      </c>
      <c r="B68" s="20">
        <v>4</v>
      </c>
      <c r="C68" s="25" t="s">
        <v>145</v>
      </c>
      <c r="D68" s="25" t="s">
        <v>144</v>
      </c>
      <c r="E68" s="24">
        <v>2000</v>
      </c>
      <c r="F68" s="23" t="s">
        <v>111</v>
      </c>
      <c r="G68" s="22">
        <v>123</v>
      </c>
    </row>
    <row r="69" spans="1:7" ht="15.75" hidden="1" x14ac:dyDescent="0.25">
      <c r="A69" s="21">
        <v>67</v>
      </c>
      <c r="B69" s="20">
        <v>4</v>
      </c>
      <c r="C69" s="25" t="s">
        <v>143</v>
      </c>
      <c r="D69" s="25" t="s">
        <v>142</v>
      </c>
      <c r="E69" s="24">
        <v>2000</v>
      </c>
      <c r="F69" s="23" t="s">
        <v>111</v>
      </c>
      <c r="G69" s="22">
        <v>127</v>
      </c>
    </row>
    <row r="70" spans="1:7" ht="15.75" hidden="1" x14ac:dyDescent="0.25">
      <c r="A70" s="21">
        <v>68</v>
      </c>
      <c r="B70" s="20">
        <v>4</v>
      </c>
      <c r="C70" s="25" t="s">
        <v>141</v>
      </c>
      <c r="D70" s="25" t="s">
        <v>140</v>
      </c>
      <c r="E70" s="24">
        <v>2000</v>
      </c>
      <c r="F70" s="23" t="s">
        <v>111</v>
      </c>
      <c r="G70" s="22">
        <v>211</v>
      </c>
    </row>
    <row r="71" spans="1:7" ht="15.75" hidden="1" x14ac:dyDescent="0.25">
      <c r="A71" s="21">
        <v>69</v>
      </c>
      <c r="B71" s="20">
        <v>4</v>
      </c>
      <c r="C71" s="25" t="s">
        <v>139</v>
      </c>
      <c r="D71" s="25" t="s">
        <v>138</v>
      </c>
      <c r="E71" s="24">
        <v>2018</v>
      </c>
      <c r="F71" s="23" t="s">
        <v>111</v>
      </c>
      <c r="G71" s="22">
        <v>229</v>
      </c>
    </row>
    <row r="72" spans="1:7" ht="15.75" hidden="1" x14ac:dyDescent="0.25">
      <c r="A72" s="21">
        <v>70</v>
      </c>
      <c r="B72" s="20">
        <v>4</v>
      </c>
      <c r="C72" s="25" t="s">
        <v>137</v>
      </c>
      <c r="D72" s="25" t="s">
        <v>136</v>
      </c>
      <c r="E72" s="24">
        <v>2018</v>
      </c>
      <c r="F72" s="23" t="s">
        <v>111</v>
      </c>
      <c r="G72" s="22">
        <v>127</v>
      </c>
    </row>
    <row r="73" spans="1:7" ht="15.75" hidden="1" x14ac:dyDescent="0.25">
      <c r="A73" s="21">
        <v>71</v>
      </c>
      <c r="B73" s="20">
        <v>4</v>
      </c>
      <c r="C73" s="25" t="s">
        <v>135</v>
      </c>
      <c r="D73" s="25" t="s">
        <v>134</v>
      </c>
      <c r="E73" s="24">
        <v>2140</v>
      </c>
      <c r="F73" s="23" t="s">
        <v>131</v>
      </c>
      <c r="G73" s="22">
        <v>94</v>
      </c>
    </row>
    <row r="74" spans="1:7" ht="15.75" hidden="1" x14ac:dyDescent="0.25">
      <c r="A74" s="21">
        <v>72</v>
      </c>
      <c r="B74" s="20">
        <v>4</v>
      </c>
      <c r="C74" s="25" t="s">
        <v>133</v>
      </c>
      <c r="D74" s="25" t="s">
        <v>132</v>
      </c>
      <c r="E74" s="24">
        <v>2140</v>
      </c>
      <c r="F74" s="23" t="s">
        <v>131</v>
      </c>
      <c r="G74" s="22">
        <v>203</v>
      </c>
    </row>
    <row r="75" spans="1:7" ht="15.75" hidden="1" x14ac:dyDescent="0.25">
      <c r="A75" s="21">
        <v>73</v>
      </c>
      <c r="B75" s="20">
        <v>4</v>
      </c>
      <c r="C75" s="25" t="s">
        <v>107</v>
      </c>
      <c r="D75" s="25" t="s">
        <v>130</v>
      </c>
      <c r="E75" s="24">
        <v>2020</v>
      </c>
      <c r="F75" s="23" t="s">
        <v>111</v>
      </c>
      <c r="G75" s="22">
        <v>260</v>
      </c>
    </row>
    <row r="76" spans="1:7" ht="15.75" hidden="1" x14ac:dyDescent="0.25">
      <c r="A76" s="21">
        <v>74</v>
      </c>
      <c r="B76" s="20">
        <v>4</v>
      </c>
      <c r="C76" s="25" t="s">
        <v>129</v>
      </c>
      <c r="D76" s="25" t="s">
        <v>128</v>
      </c>
      <c r="E76" s="24">
        <v>2018</v>
      </c>
      <c r="F76" s="23" t="s">
        <v>111</v>
      </c>
      <c r="G76" s="22">
        <v>80</v>
      </c>
    </row>
    <row r="77" spans="1:7" ht="15.75" hidden="1" x14ac:dyDescent="0.25">
      <c r="A77" s="21">
        <v>75</v>
      </c>
      <c r="B77" s="20">
        <v>4</v>
      </c>
      <c r="C77" s="25" t="s">
        <v>127</v>
      </c>
      <c r="D77" s="25" t="s">
        <v>126</v>
      </c>
      <c r="E77" s="24">
        <v>2018</v>
      </c>
      <c r="F77" s="23" t="s">
        <v>111</v>
      </c>
      <c r="G77" s="22">
        <v>80</v>
      </c>
    </row>
    <row r="78" spans="1:7" ht="15.75" hidden="1" x14ac:dyDescent="0.25">
      <c r="A78" s="21">
        <v>76</v>
      </c>
      <c r="B78" s="20">
        <v>4</v>
      </c>
      <c r="C78" s="25" t="s">
        <v>125</v>
      </c>
      <c r="D78" s="25" t="s">
        <v>124</v>
      </c>
      <c r="E78" s="24">
        <v>2018</v>
      </c>
      <c r="F78" s="23" t="s">
        <v>111</v>
      </c>
      <c r="G78" s="22">
        <v>289</v>
      </c>
    </row>
    <row r="79" spans="1:7" ht="15.75" hidden="1" x14ac:dyDescent="0.25">
      <c r="A79" s="21">
        <v>77</v>
      </c>
      <c r="B79" s="20">
        <v>4</v>
      </c>
      <c r="C79" s="25" t="s">
        <v>123</v>
      </c>
      <c r="D79" s="25" t="s">
        <v>122</v>
      </c>
      <c r="E79" s="24">
        <v>2018</v>
      </c>
      <c r="F79" s="23" t="s">
        <v>111</v>
      </c>
      <c r="G79" s="22">
        <v>215</v>
      </c>
    </row>
    <row r="80" spans="1:7" ht="15.75" hidden="1" x14ac:dyDescent="0.25">
      <c r="A80" s="21">
        <v>78</v>
      </c>
      <c r="B80" s="20">
        <v>3</v>
      </c>
      <c r="C80" s="25" t="s">
        <v>121</v>
      </c>
      <c r="D80" s="25" t="s">
        <v>120</v>
      </c>
      <c r="E80" s="24">
        <v>2030</v>
      </c>
      <c r="F80" s="23" t="s">
        <v>111</v>
      </c>
      <c r="G80" s="22">
        <v>75</v>
      </c>
    </row>
    <row r="81" spans="1:7" ht="15.75" hidden="1" x14ac:dyDescent="0.25">
      <c r="A81" s="21">
        <v>79</v>
      </c>
      <c r="B81" s="20">
        <v>3</v>
      </c>
      <c r="C81" s="25" t="s">
        <v>119</v>
      </c>
      <c r="D81" s="25" t="s">
        <v>118</v>
      </c>
      <c r="E81" s="24">
        <v>2018</v>
      </c>
      <c r="F81" s="23" t="s">
        <v>111</v>
      </c>
      <c r="G81" s="22">
        <v>108</v>
      </c>
    </row>
    <row r="82" spans="1:7" ht="15.75" hidden="1" x14ac:dyDescent="0.25">
      <c r="A82" s="21">
        <v>80</v>
      </c>
      <c r="B82" s="20">
        <v>3</v>
      </c>
      <c r="C82" s="25" t="s">
        <v>117</v>
      </c>
      <c r="D82" s="25" t="s">
        <v>116</v>
      </c>
      <c r="E82" s="24">
        <v>2600</v>
      </c>
      <c r="F82" s="23" t="s">
        <v>115</v>
      </c>
      <c r="G82" s="22">
        <v>130</v>
      </c>
    </row>
    <row r="83" spans="1:7" ht="15.75" hidden="1" x14ac:dyDescent="0.25">
      <c r="A83" s="21">
        <v>81</v>
      </c>
      <c r="B83" s="20">
        <v>3</v>
      </c>
      <c r="C83" s="25" t="s">
        <v>71</v>
      </c>
      <c r="D83" s="25" t="s">
        <v>114</v>
      </c>
      <c r="E83" s="24">
        <v>2000</v>
      </c>
      <c r="F83" s="23" t="s">
        <v>111</v>
      </c>
      <c r="G83" s="22">
        <v>150</v>
      </c>
    </row>
    <row r="84" spans="1:7" ht="15.75" hidden="1" x14ac:dyDescent="0.25">
      <c r="A84" s="21">
        <v>82</v>
      </c>
      <c r="B84" s="20">
        <v>3</v>
      </c>
      <c r="C84" s="25" t="s">
        <v>113</v>
      </c>
      <c r="D84" s="25" t="s">
        <v>112</v>
      </c>
      <c r="E84" s="24">
        <v>2030</v>
      </c>
      <c r="F84" s="23" t="s">
        <v>111</v>
      </c>
      <c r="G84" s="22">
        <v>119</v>
      </c>
    </row>
    <row r="85" spans="1:7" ht="15.75" hidden="1" x14ac:dyDescent="0.25">
      <c r="A85" s="21">
        <v>83</v>
      </c>
      <c r="B85" s="20">
        <v>3</v>
      </c>
      <c r="C85" s="25" t="s">
        <v>110</v>
      </c>
      <c r="D85" s="25" t="s">
        <v>109</v>
      </c>
      <c r="E85" s="24">
        <v>9120</v>
      </c>
      <c r="F85" s="23" t="s">
        <v>108</v>
      </c>
      <c r="G85" s="22">
        <v>154</v>
      </c>
    </row>
    <row r="86" spans="1:7" ht="15.75" hidden="1" x14ac:dyDescent="0.25">
      <c r="A86" s="21">
        <v>84</v>
      </c>
      <c r="B86" s="20">
        <v>4</v>
      </c>
      <c r="C86" s="25" t="s">
        <v>107</v>
      </c>
      <c r="D86" s="25" t="s">
        <v>106</v>
      </c>
      <c r="E86" s="24">
        <v>8000</v>
      </c>
      <c r="F86" s="23" t="s">
        <v>67</v>
      </c>
      <c r="G86" s="22">
        <v>96</v>
      </c>
    </row>
    <row r="87" spans="1:7" ht="15.75" hidden="1" x14ac:dyDescent="0.25">
      <c r="A87" s="21">
        <v>85</v>
      </c>
      <c r="B87" s="20">
        <v>4</v>
      </c>
      <c r="C87" s="25" t="s">
        <v>105</v>
      </c>
      <c r="D87" s="25" t="s">
        <v>104</v>
      </c>
      <c r="E87" s="24">
        <v>8000</v>
      </c>
      <c r="F87" s="23" t="s">
        <v>67</v>
      </c>
      <c r="G87" s="22">
        <v>88</v>
      </c>
    </row>
    <row r="88" spans="1:7" ht="15.75" hidden="1" x14ac:dyDescent="0.25">
      <c r="A88" s="21">
        <v>86</v>
      </c>
      <c r="B88" s="20">
        <v>4</v>
      </c>
      <c r="C88" s="25" t="s">
        <v>103</v>
      </c>
      <c r="D88" s="25" t="s">
        <v>102</v>
      </c>
      <c r="E88" s="24">
        <v>8000</v>
      </c>
      <c r="F88" s="23" t="s">
        <v>67</v>
      </c>
      <c r="G88" s="22">
        <v>86</v>
      </c>
    </row>
    <row r="89" spans="1:7" ht="15.75" hidden="1" x14ac:dyDescent="0.25">
      <c r="A89" s="21">
        <v>87</v>
      </c>
      <c r="B89" s="20">
        <v>4</v>
      </c>
      <c r="C89" s="25" t="s">
        <v>101</v>
      </c>
      <c r="D89" s="25" t="s">
        <v>100</v>
      </c>
      <c r="E89" s="24">
        <v>8000</v>
      </c>
      <c r="F89" s="23" t="s">
        <v>67</v>
      </c>
      <c r="G89" s="22">
        <v>155</v>
      </c>
    </row>
    <row r="90" spans="1:7" ht="15.75" hidden="1" x14ac:dyDescent="0.25">
      <c r="A90" s="21">
        <v>88</v>
      </c>
      <c r="B90" s="20">
        <v>4</v>
      </c>
      <c r="C90" s="25" t="s">
        <v>99</v>
      </c>
      <c r="D90" s="25" t="s">
        <v>98</v>
      </c>
      <c r="E90" s="24">
        <v>3600</v>
      </c>
      <c r="F90" s="23" t="s">
        <v>97</v>
      </c>
      <c r="G90" s="22">
        <v>83</v>
      </c>
    </row>
    <row r="91" spans="1:7" ht="15.75" hidden="1" x14ac:dyDescent="0.25">
      <c r="A91" s="21">
        <v>89</v>
      </c>
      <c r="B91" s="20">
        <v>4</v>
      </c>
      <c r="C91" s="25" t="s">
        <v>96</v>
      </c>
      <c r="D91" s="25" t="s">
        <v>95</v>
      </c>
      <c r="E91" s="24">
        <v>9000</v>
      </c>
      <c r="F91" s="23" t="s">
        <v>57</v>
      </c>
      <c r="G91" s="22">
        <v>140</v>
      </c>
    </row>
    <row r="92" spans="1:7" ht="15.75" hidden="1" x14ac:dyDescent="0.25">
      <c r="A92" s="21">
        <v>90</v>
      </c>
      <c r="B92" s="20">
        <v>4</v>
      </c>
      <c r="C92" s="25" t="s">
        <v>94</v>
      </c>
      <c r="D92" s="25" t="s">
        <v>93</v>
      </c>
      <c r="E92" s="24">
        <v>9051</v>
      </c>
      <c r="F92" s="23" t="s">
        <v>92</v>
      </c>
      <c r="G92" s="22">
        <v>134</v>
      </c>
    </row>
    <row r="93" spans="1:7" ht="15.75" hidden="1" x14ac:dyDescent="0.25">
      <c r="A93" s="21">
        <v>91</v>
      </c>
      <c r="B93" s="20">
        <v>4</v>
      </c>
      <c r="C93" s="25" t="s">
        <v>91</v>
      </c>
      <c r="D93" s="25" t="s">
        <v>90</v>
      </c>
      <c r="E93" s="24">
        <v>9000</v>
      </c>
      <c r="F93" s="23" t="s">
        <v>57</v>
      </c>
      <c r="G93" s="22">
        <v>127</v>
      </c>
    </row>
    <row r="94" spans="1:7" ht="15.75" hidden="1" x14ac:dyDescent="0.25">
      <c r="A94" s="21">
        <v>92</v>
      </c>
      <c r="B94" s="20">
        <v>4</v>
      </c>
      <c r="C94" s="25" t="s">
        <v>89</v>
      </c>
      <c r="D94" s="25" t="s">
        <v>88</v>
      </c>
      <c r="E94" s="24">
        <v>3500</v>
      </c>
      <c r="F94" s="23" t="s">
        <v>87</v>
      </c>
      <c r="G94" s="22">
        <v>107</v>
      </c>
    </row>
    <row r="95" spans="1:7" ht="15.75" hidden="1" x14ac:dyDescent="0.25">
      <c r="A95" s="21">
        <v>93</v>
      </c>
      <c r="B95" s="20">
        <v>4</v>
      </c>
      <c r="C95" s="25" t="s">
        <v>86</v>
      </c>
      <c r="D95" s="25" t="s">
        <v>85</v>
      </c>
      <c r="E95" s="24">
        <v>8300</v>
      </c>
      <c r="F95" s="23" t="s">
        <v>84</v>
      </c>
      <c r="G95" s="22">
        <v>112</v>
      </c>
    </row>
    <row r="96" spans="1:7" ht="15.75" hidden="1" x14ac:dyDescent="0.25">
      <c r="A96" s="21">
        <v>94</v>
      </c>
      <c r="B96" s="20">
        <v>4</v>
      </c>
      <c r="C96" s="25" t="s">
        <v>83</v>
      </c>
      <c r="D96" s="25" t="s">
        <v>82</v>
      </c>
      <c r="E96" s="24">
        <v>3000</v>
      </c>
      <c r="F96" s="23" t="s">
        <v>81</v>
      </c>
      <c r="G96" s="22">
        <v>100</v>
      </c>
    </row>
    <row r="97" spans="1:7" ht="15.75" hidden="1" x14ac:dyDescent="0.25">
      <c r="A97" s="21">
        <v>95</v>
      </c>
      <c r="B97" s="20">
        <v>4</v>
      </c>
      <c r="C97" s="25" t="s">
        <v>80</v>
      </c>
      <c r="D97" s="25" t="s">
        <v>79</v>
      </c>
      <c r="E97" s="24">
        <v>8400</v>
      </c>
      <c r="F97" s="23" t="s">
        <v>52</v>
      </c>
      <c r="G97" s="22">
        <v>92</v>
      </c>
    </row>
    <row r="98" spans="1:7" ht="15.75" hidden="1" x14ac:dyDescent="0.25">
      <c r="A98" s="21">
        <v>96</v>
      </c>
      <c r="B98" s="20">
        <v>4</v>
      </c>
      <c r="C98" s="25" t="s">
        <v>78</v>
      </c>
      <c r="D98" s="25" t="s">
        <v>77</v>
      </c>
      <c r="E98" s="24">
        <v>8400</v>
      </c>
      <c r="F98" s="23" t="s">
        <v>52</v>
      </c>
      <c r="G98" s="22">
        <v>128</v>
      </c>
    </row>
    <row r="99" spans="1:7" ht="15.75" hidden="1" x14ac:dyDescent="0.25">
      <c r="A99" s="21">
        <v>97</v>
      </c>
      <c r="B99" s="20">
        <v>3</v>
      </c>
      <c r="C99" s="25" t="s">
        <v>76</v>
      </c>
      <c r="D99" s="25" t="s">
        <v>75</v>
      </c>
      <c r="E99" s="24">
        <v>8370</v>
      </c>
      <c r="F99" s="23" t="s">
        <v>74</v>
      </c>
      <c r="G99" s="22">
        <v>75</v>
      </c>
    </row>
    <row r="100" spans="1:7" ht="15.75" hidden="1" x14ac:dyDescent="0.25">
      <c r="A100" s="21">
        <v>98</v>
      </c>
      <c r="B100" s="20">
        <v>3</v>
      </c>
      <c r="C100" s="25" t="s">
        <v>73</v>
      </c>
      <c r="D100" s="25" t="s">
        <v>72</v>
      </c>
      <c r="E100" s="24">
        <v>8000</v>
      </c>
      <c r="F100" s="23" t="s">
        <v>67</v>
      </c>
      <c r="G100" s="22">
        <v>138</v>
      </c>
    </row>
    <row r="101" spans="1:7" ht="15.75" hidden="1" x14ac:dyDescent="0.25">
      <c r="A101" s="21">
        <v>99</v>
      </c>
      <c r="B101" s="20">
        <v>3</v>
      </c>
      <c r="C101" s="25" t="s">
        <v>71</v>
      </c>
      <c r="D101" s="25" t="s">
        <v>70</v>
      </c>
      <c r="E101" s="24">
        <v>8000</v>
      </c>
      <c r="F101" s="23" t="s">
        <v>67</v>
      </c>
      <c r="G101" s="22">
        <v>128</v>
      </c>
    </row>
    <row r="102" spans="1:7" ht="15.75" hidden="1" x14ac:dyDescent="0.25">
      <c r="A102" s="21">
        <v>100</v>
      </c>
      <c r="B102" s="20">
        <v>3</v>
      </c>
      <c r="C102" s="25" t="s">
        <v>69</v>
      </c>
      <c r="D102" s="25" t="s">
        <v>68</v>
      </c>
      <c r="E102" s="24">
        <v>8001</v>
      </c>
      <c r="F102" s="23" t="s">
        <v>67</v>
      </c>
      <c r="G102" s="22">
        <v>126</v>
      </c>
    </row>
    <row r="103" spans="1:7" ht="15.75" hidden="1" x14ac:dyDescent="0.25">
      <c r="A103" s="21">
        <v>101</v>
      </c>
      <c r="B103" s="20">
        <v>3</v>
      </c>
      <c r="C103" s="25" t="s">
        <v>66</v>
      </c>
      <c r="D103" s="25" t="s">
        <v>65</v>
      </c>
      <c r="E103" s="24">
        <v>8200</v>
      </c>
      <c r="F103" s="23" t="s">
        <v>64</v>
      </c>
      <c r="G103" s="22">
        <v>101</v>
      </c>
    </row>
    <row r="104" spans="1:7" ht="15.75" hidden="1" x14ac:dyDescent="0.25">
      <c r="A104" s="21">
        <v>102</v>
      </c>
      <c r="B104" s="20">
        <v>3</v>
      </c>
      <c r="C104" s="25" t="s">
        <v>63</v>
      </c>
      <c r="D104" s="25" t="s">
        <v>62</v>
      </c>
      <c r="E104" s="24">
        <v>9000</v>
      </c>
      <c r="F104" s="23" t="s">
        <v>57</v>
      </c>
      <c r="G104" s="22">
        <v>120</v>
      </c>
    </row>
    <row r="105" spans="1:7" ht="15.75" hidden="1" x14ac:dyDescent="0.25">
      <c r="A105" s="21">
        <v>103</v>
      </c>
      <c r="B105" s="20">
        <v>3</v>
      </c>
      <c r="C105" s="25" t="s">
        <v>61</v>
      </c>
      <c r="D105" s="25" t="s">
        <v>60</v>
      </c>
      <c r="E105" s="24">
        <v>9000</v>
      </c>
      <c r="F105" s="23" t="s">
        <v>57</v>
      </c>
      <c r="G105" s="22">
        <v>134</v>
      </c>
    </row>
    <row r="106" spans="1:7" ht="15.75" hidden="1" x14ac:dyDescent="0.25">
      <c r="A106" s="21">
        <v>104</v>
      </c>
      <c r="B106" s="20">
        <v>3</v>
      </c>
      <c r="C106" s="25" t="s">
        <v>59</v>
      </c>
      <c r="D106" s="25" t="s">
        <v>58</v>
      </c>
      <c r="E106" s="24">
        <v>9000</v>
      </c>
      <c r="F106" s="23" t="s">
        <v>57</v>
      </c>
      <c r="G106" s="22">
        <v>117</v>
      </c>
    </row>
    <row r="107" spans="1:7" ht="15.75" hidden="1" x14ac:dyDescent="0.25">
      <c r="A107" s="21">
        <v>105</v>
      </c>
      <c r="B107" s="20">
        <v>3</v>
      </c>
      <c r="C107" s="25" t="s">
        <v>56</v>
      </c>
      <c r="D107" s="25" t="s">
        <v>55</v>
      </c>
      <c r="E107" s="24">
        <v>8400</v>
      </c>
      <c r="F107" s="23" t="s">
        <v>52</v>
      </c>
      <c r="G107" s="22">
        <v>160</v>
      </c>
    </row>
    <row r="108" spans="1:7" ht="15.75" hidden="1" x14ac:dyDescent="0.25">
      <c r="A108" s="21">
        <v>106</v>
      </c>
      <c r="B108" s="20">
        <v>3</v>
      </c>
      <c r="C108" s="25" t="s">
        <v>54</v>
      </c>
      <c r="D108" s="25" t="s">
        <v>53</v>
      </c>
      <c r="E108" s="24">
        <v>8400</v>
      </c>
      <c r="F108" s="23" t="s">
        <v>52</v>
      </c>
      <c r="G108" s="22">
        <v>99</v>
      </c>
    </row>
    <row r="109" spans="1:7" ht="15.75" hidden="1" x14ac:dyDescent="0.25">
      <c r="A109" s="21">
        <v>107</v>
      </c>
      <c r="B109" s="20">
        <v>5</v>
      </c>
      <c r="C109" s="25" t="s">
        <v>51</v>
      </c>
      <c r="D109" s="25" t="s">
        <v>50</v>
      </c>
      <c r="E109" s="24">
        <v>1013</v>
      </c>
      <c r="F109" s="23" t="s">
        <v>32</v>
      </c>
      <c r="G109" s="22">
        <v>337</v>
      </c>
    </row>
    <row r="110" spans="1:7" ht="15.75" hidden="1" x14ac:dyDescent="0.25">
      <c r="A110" s="21">
        <v>108</v>
      </c>
      <c r="B110" s="20">
        <v>5</v>
      </c>
      <c r="C110" s="25" t="s">
        <v>49</v>
      </c>
      <c r="D110" s="25" t="s">
        <v>48</v>
      </c>
      <c r="E110" s="24">
        <v>2449</v>
      </c>
      <c r="F110" s="23" t="s">
        <v>32</v>
      </c>
      <c r="G110" s="22">
        <v>210</v>
      </c>
    </row>
    <row r="111" spans="1:7" ht="15.75" hidden="1" x14ac:dyDescent="0.25">
      <c r="A111" s="21">
        <v>109</v>
      </c>
      <c r="B111" s="20">
        <v>5</v>
      </c>
      <c r="C111" s="25" t="s">
        <v>47</v>
      </c>
      <c r="D111" s="25" t="s">
        <v>46</v>
      </c>
      <c r="E111" s="24">
        <v>2015</v>
      </c>
      <c r="F111" s="23" t="s">
        <v>32</v>
      </c>
      <c r="G111" s="22">
        <v>104</v>
      </c>
    </row>
    <row r="112" spans="1:7" ht="15.75" hidden="1" x14ac:dyDescent="0.25">
      <c r="A112" s="21">
        <v>110</v>
      </c>
      <c r="B112" s="20">
        <v>4</v>
      </c>
      <c r="C112" s="25" t="s">
        <v>45</v>
      </c>
      <c r="D112" s="25" t="s">
        <v>44</v>
      </c>
      <c r="E112" s="24">
        <v>1453</v>
      </c>
      <c r="F112" s="23" t="s">
        <v>32</v>
      </c>
      <c r="G112" s="22">
        <v>271</v>
      </c>
    </row>
    <row r="113" spans="1:7" ht="15.75" hidden="1" x14ac:dyDescent="0.25">
      <c r="A113" s="21">
        <v>111</v>
      </c>
      <c r="B113" s="20">
        <v>4</v>
      </c>
      <c r="C113" s="25" t="s">
        <v>43</v>
      </c>
      <c r="D113" s="25" t="s">
        <v>42</v>
      </c>
      <c r="E113" s="24">
        <v>1015</v>
      </c>
      <c r="F113" s="23" t="s">
        <v>32</v>
      </c>
      <c r="G113" s="22">
        <v>158</v>
      </c>
    </row>
    <row r="114" spans="1:7" ht="15.75" hidden="1" x14ac:dyDescent="0.25">
      <c r="A114" s="21">
        <v>112</v>
      </c>
      <c r="B114" s="20">
        <v>4</v>
      </c>
      <c r="C114" s="25" t="s">
        <v>41</v>
      </c>
      <c r="D114" s="25" t="s">
        <v>40</v>
      </c>
      <c r="E114" s="24">
        <v>2015</v>
      </c>
      <c r="F114" s="23" t="s">
        <v>32</v>
      </c>
      <c r="G114" s="22">
        <v>260</v>
      </c>
    </row>
    <row r="115" spans="1:7" ht="15.75" hidden="1" x14ac:dyDescent="0.25">
      <c r="A115" s="21">
        <v>113</v>
      </c>
      <c r="B115" s="20">
        <v>4</v>
      </c>
      <c r="C115" s="25" t="s">
        <v>39</v>
      </c>
      <c r="D115" s="25" t="s">
        <v>35</v>
      </c>
      <c r="E115" s="24">
        <v>1019</v>
      </c>
      <c r="F115" s="23" t="s">
        <v>32</v>
      </c>
      <c r="G115" s="22">
        <v>148</v>
      </c>
    </row>
    <row r="116" spans="1:7" ht="15.75" hidden="1" x14ac:dyDescent="0.25">
      <c r="A116" s="21">
        <v>114</v>
      </c>
      <c r="B116" s="20">
        <v>3</v>
      </c>
      <c r="C116" s="25" t="s">
        <v>38</v>
      </c>
      <c r="D116" s="25" t="s">
        <v>37</v>
      </c>
      <c r="E116" s="24">
        <v>2633</v>
      </c>
      <c r="F116" s="23" t="s">
        <v>32</v>
      </c>
      <c r="G116" s="22">
        <v>108</v>
      </c>
    </row>
    <row r="117" spans="1:7" ht="15.75" hidden="1" x14ac:dyDescent="0.25">
      <c r="A117" s="21">
        <v>115</v>
      </c>
      <c r="B117" s="20">
        <v>3</v>
      </c>
      <c r="C117" s="25" t="s">
        <v>36</v>
      </c>
      <c r="D117" s="25" t="s">
        <v>35</v>
      </c>
      <c r="E117" s="24">
        <v>1022</v>
      </c>
      <c r="F117" s="23" t="s">
        <v>32</v>
      </c>
      <c r="G117" s="22">
        <v>120</v>
      </c>
    </row>
    <row r="118" spans="1:7" ht="15.75" hidden="1" x14ac:dyDescent="0.25">
      <c r="A118" s="21">
        <v>116</v>
      </c>
      <c r="B118" s="20">
        <v>3</v>
      </c>
      <c r="C118" s="19" t="s">
        <v>34</v>
      </c>
      <c r="D118" s="19" t="s">
        <v>33</v>
      </c>
      <c r="E118" s="18">
        <v>1020</v>
      </c>
      <c r="F118" s="17" t="s">
        <v>32</v>
      </c>
      <c r="G118" s="16">
        <v>152</v>
      </c>
    </row>
  </sheetData>
  <autoFilter ref="A2:G118">
    <filterColumn colId="1">
      <filters>
        <filter val="5"/>
      </filters>
    </filterColumn>
    <filterColumn colId="5">
      <filters>
        <filter val="Bruxelles"/>
      </filters>
    </filterColumn>
    <filterColumn colId="6">
      <customFilters>
        <customFilter operator="lessThan" val="200"/>
      </customFilters>
    </filterColumn>
  </autoFilter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I31"/>
  <sheetViews>
    <sheetView workbookViewId="0">
      <selection activeCell="H27" sqref="H27:H31"/>
    </sheetView>
  </sheetViews>
  <sheetFormatPr baseColWidth="10" defaultRowHeight="15" x14ac:dyDescent="0.25"/>
  <cols>
    <col min="1" max="1" width="14.140625" bestFit="1" customWidth="1"/>
    <col min="2" max="2" width="29.5703125" bestFit="1" customWidth="1"/>
    <col min="3" max="3" width="13.85546875" customWidth="1"/>
    <col min="6" max="6" width="13.85546875" bestFit="1" customWidth="1"/>
  </cols>
  <sheetData>
    <row r="1" spans="1:6" x14ac:dyDescent="0.25">
      <c r="A1" s="34" t="s">
        <v>302</v>
      </c>
      <c r="B1" s="34" t="s">
        <v>304</v>
      </c>
      <c r="C1" s="34" t="s">
        <v>305</v>
      </c>
      <c r="D1" s="34" t="s">
        <v>3</v>
      </c>
      <c r="E1" s="34" t="s">
        <v>17</v>
      </c>
      <c r="F1" s="34" t="s">
        <v>306</v>
      </c>
    </row>
    <row r="2" spans="1:6" x14ac:dyDescent="0.25">
      <c r="A2" s="2" t="s">
        <v>12</v>
      </c>
      <c r="B2" t="s">
        <v>10</v>
      </c>
      <c r="C2" t="s">
        <v>309</v>
      </c>
      <c r="D2">
        <f>'Validation des données'!E2</f>
        <v>12</v>
      </c>
      <c r="E2">
        <v>12</v>
      </c>
    </row>
    <row r="3" spans="1:6" x14ac:dyDescent="0.25">
      <c r="A3" s="2" t="s">
        <v>303</v>
      </c>
      <c r="B3" t="s">
        <v>25</v>
      </c>
      <c r="C3" t="s">
        <v>311</v>
      </c>
      <c r="D3">
        <v>712</v>
      </c>
      <c r="E3">
        <v>12</v>
      </c>
    </row>
    <row r="4" spans="1:6" x14ac:dyDescent="0.25">
      <c r="A4" s="2" t="s">
        <v>9</v>
      </c>
      <c r="B4" t="s">
        <v>26</v>
      </c>
      <c r="C4" t="s">
        <v>310</v>
      </c>
      <c r="D4">
        <v>358</v>
      </c>
      <c r="E4">
        <v>12</v>
      </c>
    </row>
    <row r="5" spans="1:6" x14ac:dyDescent="0.25">
      <c r="A5" s="2" t="s">
        <v>148</v>
      </c>
      <c r="B5" t="s">
        <v>8</v>
      </c>
      <c r="C5" t="s">
        <v>313</v>
      </c>
      <c r="D5">
        <v>25</v>
      </c>
      <c r="E5">
        <v>12</v>
      </c>
    </row>
    <row r="6" spans="1:6" x14ac:dyDescent="0.25">
      <c r="A6" s="2" t="s">
        <v>9</v>
      </c>
      <c r="B6" t="s">
        <v>27</v>
      </c>
      <c r="C6" t="s">
        <v>315</v>
      </c>
      <c r="D6">
        <v>800</v>
      </c>
      <c r="E6">
        <v>12</v>
      </c>
    </row>
    <row r="7" spans="1:6" x14ac:dyDescent="0.25">
      <c r="A7" s="2" t="s">
        <v>12</v>
      </c>
      <c r="B7" t="s">
        <v>11</v>
      </c>
      <c r="C7" t="s">
        <v>317</v>
      </c>
      <c r="D7">
        <v>999</v>
      </c>
      <c r="E7">
        <v>12</v>
      </c>
    </row>
    <row r="8" spans="1:6" x14ac:dyDescent="0.25">
      <c r="A8" s="2" t="s">
        <v>303</v>
      </c>
      <c r="B8" t="s">
        <v>13</v>
      </c>
      <c r="C8" t="s">
        <v>316</v>
      </c>
      <c r="D8">
        <v>420</v>
      </c>
      <c r="E8">
        <v>12</v>
      </c>
    </row>
    <row r="9" spans="1:6" x14ac:dyDescent="0.25">
      <c r="A9" s="2" t="s">
        <v>148</v>
      </c>
      <c r="B9" t="s">
        <v>26</v>
      </c>
      <c r="C9" t="s">
        <v>318</v>
      </c>
      <c r="D9">
        <v>768</v>
      </c>
      <c r="E9">
        <v>12</v>
      </c>
    </row>
    <row r="10" spans="1:6" x14ac:dyDescent="0.25">
      <c r="A10" s="2" t="s">
        <v>12</v>
      </c>
      <c r="B10" t="s">
        <v>8</v>
      </c>
      <c r="C10" t="s">
        <v>314</v>
      </c>
      <c r="D10">
        <v>60</v>
      </c>
      <c r="E10">
        <v>12</v>
      </c>
    </row>
    <row r="12" spans="1:6" x14ac:dyDescent="0.25">
      <c r="A12" t="s">
        <v>307</v>
      </c>
      <c r="B12" t="s">
        <v>308</v>
      </c>
    </row>
    <row r="27" spans="8:9" x14ac:dyDescent="0.25">
      <c r="H27" t="s">
        <v>309</v>
      </c>
      <c r="I27" t="s">
        <v>314</v>
      </c>
    </row>
    <row r="28" spans="8:9" x14ac:dyDescent="0.25">
      <c r="H28" t="s">
        <v>310</v>
      </c>
      <c r="I28" t="s">
        <v>315</v>
      </c>
    </row>
    <row r="29" spans="8:9" x14ac:dyDescent="0.25">
      <c r="H29" t="s">
        <v>311</v>
      </c>
      <c r="I29" t="s">
        <v>316</v>
      </c>
    </row>
    <row r="30" spans="8:9" x14ac:dyDescent="0.25">
      <c r="H30" t="s">
        <v>312</v>
      </c>
      <c r="I30" t="s">
        <v>317</v>
      </c>
    </row>
    <row r="31" spans="8:9" x14ac:dyDescent="0.25">
      <c r="H31" t="s">
        <v>313</v>
      </c>
      <c r="I31" t="s">
        <v>318</v>
      </c>
    </row>
  </sheetData>
  <dataValidations count="7">
    <dataValidation type="list" allowBlank="1" showInputMessage="1" showErrorMessage="1" promptTitle="Choisir région" prompt="Merci de choisir une région" sqref="A1">
      <formula1>$A$2:$A$5</formula1>
    </dataValidation>
    <dataValidation type="list" allowBlank="1" showInputMessage="1" showErrorMessage="1" sqref="A2:A10">
      <formula1>"Liège, Namur, Verviers, Bruxelles"</formula1>
    </dataValidation>
    <dataValidation type="whole" allowBlank="1" showInputMessage="1" showErrorMessage="1" errorTitle="Erreur" error="Entre 0 et 1000 on a dit !" promptTitle="Entre" prompt="0 et 1000" sqref="D2:D10">
      <formula1>0</formula1>
      <formula2>1000</formula2>
    </dataValidation>
    <dataValidation type="decimal" operator="greaterThan" allowBlank="1" showInputMessage="1" showErrorMessage="1" errorTitle="Prix négatif" error="Merci de rentrer un prix postif" sqref="E2:E10">
      <formula1>0</formula1>
    </dataValidation>
    <dataValidation type="date" allowBlank="1" showInputMessage="1" showErrorMessage="1" sqref="F2:F10">
      <formula1>45292</formula1>
      <formula2>46003</formula2>
    </dataValidation>
    <dataValidation type="list" allowBlank="1" showInputMessage="1" showErrorMessage="1" sqref="C2:C5">
      <formula1>Commerciaux_2024</formula1>
    </dataValidation>
    <dataValidation type="list" allowBlank="1" showInputMessage="1" showErrorMessage="1" sqref="C6:C10">
      <formula1>Commerciaux_2025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Produits!$B$2:$B$8</xm:f>
          </x14:formula1>
          <xm:sqref>B2:B10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V32"/>
  <sheetViews>
    <sheetView workbookViewId="0">
      <selection activeCell="E10" sqref="A1:E10"/>
    </sheetView>
  </sheetViews>
  <sheetFormatPr baseColWidth="10" defaultRowHeight="15" x14ac:dyDescent="0.25"/>
  <cols>
    <col min="8" max="8" width="21" customWidth="1"/>
    <col min="9" max="9" width="23.85546875" customWidth="1"/>
    <col min="10" max="10" width="4.5703125" customWidth="1"/>
    <col min="11" max="11" width="5.28515625" customWidth="1"/>
    <col min="12" max="12" width="3.7109375" customWidth="1"/>
    <col min="13" max="13" width="4.28515625" customWidth="1"/>
    <col min="14" max="14" width="4.42578125" customWidth="1"/>
    <col min="15" max="15" width="3.85546875" customWidth="1"/>
    <col min="16" max="16" width="5" customWidth="1"/>
    <col min="17" max="17" width="4.85546875" customWidth="1"/>
    <col min="18" max="18" width="12.5703125" customWidth="1"/>
    <col min="19" max="19" width="9" customWidth="1"/>
    <col min="20" max="20" width="12" bestFit="1" customWidth="1"/>
    <col min="21" max="21" width="21" customWidth="1"/>
    <col min="22" max="22" width="18.7109375" customWidth="1"/>
    <col min="23" max="23" width="7.28515625" customWidth="1"/>
    <col min="24" max="24" width="8" customWidth="1"/>
    <col min="25" max="25" width="6.42578125" customWidth="1"/>
    <col min="26" max="28" width="7.140625" customWidth="1"/>
    <col min="29" max="29" width="7.7109375" customWidth="1"/>
    <col min="30" max="30" width="7.5703125" customWidth="1"/>
    <col min="31" max="31" width="12.5703125" bestFit="1" customWidth="1"/>
  </cols>
  <sheetData>
    <row r="1" spans="1:22" ht="15.75" thickBot="1" x14ac:dyDescent="0.3">
      <c r="A1" s="5" t="s">
        <v>319</v>
      </c>
      <c r="B1" s="5" t="s">
        <v>5</v>
      </c>
      <c r="C1" s="5" t="s">
        <v>2</v>
      </c>
      <c r="D1" s="5" t="s">
        <v>3</v>
      </c>
      <c r="E1" s="5" t="s">
        <v>320</v>
      </c>
    </row>
    <row r="2" spans="1:22" ht="15.75" thickTop="1" x14ac:dyDescent="0.25">
      <c r="A2" s="36">
        <v>45303</v>
      </c>
      <c r="B2" t="s">
        <v>12</v>
      </c>
      <c r="C2" t="s">
        <v>10</v>
      </c>
      <c r="D2">
        <v>10</v>
      </c>
      <c r="E2">
        <v>5</v>
      </c>
    </row>
    <row r="3" spans="1:22" x14ac:dyDescent="0.25">
      <c r="A3" s="36">
        <v>45334</v>
      </c>
      <c r="B3" t="s">
        <v>303</v>
      </c>
      <c r="C3" t="s">
        <v>11</v>
      </c>
      <c r="D3">
        <v>20</v>
      </c>
      <c r="E3">
        <v>10</v>
      </c>
    </row>
    <row r="4" spans="1:22" x14ac:dyDescent="0.25">
      <c r="A4" s="36">
        <v>45363</v>
      </c>
      <c r="B4" t="s">
        <v>148</v>
      </c>
      <c r="C4" t="s">
        <v>8</v>
      </c>
      <c r="D4">
        <v>30</v>
      </c>
      <c r="E4">
        <v>15</v>
      </c>
    </row>
    <row r="5" spans="1:22" x14ac:dyDescent="0.25">
      <c r="A5" s="36">
        <v>45394</v>
      </c>
      <c r="B5" t="s">
        <v>321</v>
      </c>
      <c r="C5" t="s">
        <v>13</v>
      </c>
      <c r="D5">
        <v>40</v>
      </c>
      <c r="E5">
        <v>20</v>
      </c>
    </row>
    <row r="6" spans="1:22" x14ac:dyDescent="0.25">
      <c r="A6" s="36">
        <v>45424</v>
      </c>
      <c r="B6" t="s">
        <v>9</v>
      </c>
      <c r="C6" t="s">
        <v>322</v>
      </c>
      <c r="D6">
        <v>50</v>
      </c>
      <c r="E6">
        <v>25</v>
      </c>
    </row>
    <row r="7" spans="1:22" x14ac:dyDescent="0.25">
      <c r="A7" s="36">
        <v>45455</v>
      </c>
      <c r="B7" t="s">
        <v>273</v>
      </c>
      <c r="C7" t="s">
        <v>26</v>
      </c>
      <c r="D7">
        <v>60</v>
      </c>
      <c r="E7">
        <v>30</v>
      </c>
    </row>
    <row r="8" spans="1:22" x14ac:dyDescent="0.25">
      <c r="A8" s="36">
        <v>45485</v>
      </c>
      <c r="B8" t="s">
        <v>12</v>
      </c>
      <c r="C8" t="s">
        <v>27</v>
      </c>
      <c r="D8">
        <v>70</v>
      </c>
      <c r="E8">
        <v>35</v>
      </c>
    </row>
    <row r="9" spans="1:22" x14ac:dyDescent="0.25">
      <c r="A9" s="36">
        <v>45516</v>
      </c>
      <c r="B9" t="s">
        <v>303</v>
      </c>
      <c r="C9" t="s">
        <v>26</v>
      </c>
      <c r="D9">
        <v>80</v>
      </c>
      <c r="E9">
        <v>40</v>
      </c>
    </row>
    <row r="10" spans="1:22" x14ac:dyDescent="0.25">
      <c r="A10" s="36">
        <v>45547</v>
      </c>
      <c r="B10" t="s">
        <v>148</v>
      </c>
      <c r="C10" t="s">
        <v>27</v>
      </c>
      <c r="D10">
        <v>90</v>
      </c>
      <c r="E10">
        <v>45</v>
      </c>
    </row>
    <row r="11" spans="1:22" x14ac:dyDescent="0.25">
      <c r="H11" s="37" t="s">
        <v>325</v>
      </c>
      <c r="I11" s="37" t="s">
        <v>335</v>
      </c>
      <c r="U11" s="37" t="s">
        <v>323</v>
      </c>
      <c r="V11" t="s">
        <v>325</v>
      </c>
    </row>
    <row r="12" spans="1:22" x14ac:dyDescent="0.25">
      <c r="H12" s="37" t="s">
        <v>323</v>
      </c>
      <c r="I12" t="s">
        <v>329</v>
      </c>
      <c r="J12" t="s">
        <v>330</v>
      </c>
      <c r="K12" t="s">
        <v>327</v>
      </c>
      <c r="L12" t="s">
        <v>326</v>
      </c>
      <c r="M12" t="s">
        <v>331</v>
      </c>
      <c r="N12" t="s">
        <v>328</v>
      </c>
      <c r="O12" t="s">
        <v>332</v>
      </c>
      <c r="P12" t="s">
        <v>333</v>
      </c>
      <c r="Q12" t="s">
        <v>334</v>
      </c>
      <c r="R12" t="s">
        <v>324</v>
      </c>
      <c r="U12" s="38" t="s">
        <v>322</v>
      </c>
      <c r="V12" s="40">
        <v>0.1111111111111111</v>
      </c>
    </row>
    <row r="13" spans="1:22" x14ac:dyDescent="0.25">
      <c r="H13" s="38" t="s">
        <v>321</v>
      </c>
      <c r="I13" s="39"/>
      <c r="J13" s="39"/>
      <c r="K13" s="39"/>
      <c r="L13" s="39">
        <v>20</v>
      </c>
      <c r="M13" s="39"/>
      <c r="N13" s="39"/>
      <c r="O13" s="39"/>
      <c r="P13" s="39"/>
      <c r="Q13" s="39"/>
      <c r="R13" s="39">
        <v>20</v>
      </c>
      <c r="U13" s="38" t="s">
        <v>26</v>
      </c>
      <c r="V13" s="40">
        <v>0.31111111111111112</v>
      </c>
    </row>
    <row r="14" spans="1:22" x14ac:dyDescent="0.25">
      <c r="H14" s="38" t="s">
        <v>148</v>
      </c>
      <c r="I14" s="39"/>
      <c r="J14" s="39"/>
      <c r="K14" s="39">
        <v>15</v>
      </c>
      <c r="L14" s="39"/>
      <c r="M14" s="39"/>
      <c r="N14" s="39"/>
      <c r="O14" s="39"/>
      <c r="P14" s="39"/>
      <c r="Q14" s="39">
        <v>45</v>
      </c>
      <c r="R14" s="39">
        <v>60</v>
      </c>
      <c r="U14" s="38" t="s">
        <v>10</v>
      </c>
      <c r="V14" s="40">
        <v>2.2222222222222223E-2</v>
      </c>
    </row>
    <row r="15" spans="1:22" x14ac:dyDescent="0.25">
      <c r="H15" s="38" t="s">
        <v>273</v>
      </c>
      <c r="I15" s="39"/>
      <c r="J15" s="39"/>
      <c r="K15" s="39"/>
      <c r="L15" s="39"/>
      <c r="M15" s="39"/>
      <c r="N15" s="39">
        <v>30</v>
      </c>
      <c r="O15" s="39"/>
      <c r="P15" s="39"/>
      <c r="Q15" s="39"/>
      <c r="R15" s="39">
        <v>30</v>
      </c>
      <c r="U15" s="38" t="s">
        <v>8</v>
      </c>
      <c r="V15" s="40">
        <v>6.6666666666666666E-2</v>
      </c>
    </row>
    <row r="16" spans="1:22" x14ac:dyDescent="0.25">
      <c r="H16" s="38" t="s">
        <v>12</v>
      </c>
      <c r="I16" s="39">
        <v>5</v>
      </c>
      <c r="J16" s="39"/>
      <c r="K16" s="39"/>
      <c r="L16" s="39"/>
      <c r="M16" s="39"/>
      <c r="N16" s="39"/>
      <c r="O16" s="39">
        <v>35</v>
      </c>
      <c r="P16" s="39"/>
      <c r="Q16" s="39"/>
      <c r="R16" s="39">
        <v>40</v>
      </c>
      <c r="U16" s="38" t="s">
        <v>27</v>
      </c>
      <c r="V16" s="40">
        <v>0.35555555555555557</v>
      </c>
    </row>
    <row r="17" spans="8:22" x14ac:dyDescent="0.25">
      <c r="H17" s="38" t="s">
        <v>303</v>
      </c>
      <c r="I17" s="39"/>
      <c r="J17" s="39">
        <v>10</v>
      </c>
      <c r="K17" s="39"/>
      <c r="L17" s="39"/>
      <c r="M17" s="39"/>
      <c r="N17" s="39"/>
      <c r="O17" s="39"/>
      <c r="P17" s="39">
        <v>40</v>
      </c>
      <c r="Q17" s="39"/>
      <c r="R17" s="39">
        <v>50</v>
      </c>
      <c r="U17" s="38" t="s">
        <v>13</v>
      </c>
      <c r="V17" s="40">
        <v>8.8888888888888892E-2</v>
      </c>
    </row>
    <row r="18" spans="8:22" x14ac:dyDescent="0.25">
      <c r="H18" s="38" t="s">
        <v>9</v>
      </c>
      <c r="I18" s="39"/>
      <c r="J18" s="39"/>
      <c r="K18" s="39"/>
      <c r="L18" s="39"/>
      <c r="M18" s="39">
        <v>25</v>
      </c>
      <c r="N18" s="39"/>
      <c r="O18" s="39"/>
      <c r="P18" s="39"/>
      <c r="Q18" s="39"/>
      <c r="R18" s="39">
        <v>25</v>
      </c>
      <c r="U18" s="38" t="s">
        <v>11</v>
      </c>
      <c r="V18" s="40">
        <v>4.4444444444444446E-2</v>
      </c>
    </row>
    <row r="19" spans="8:22" x14ac:dyDescent="0.25">
      <c r="H19" s="38" t="s">
        <v>324</v>
      </c>
      <c r="I19" s="39">
        <v>5</v>
      </c>
      <c r="J19" s="39">
        <v>10</v>
      </c>
      <c r="K19" s="39">
        <v>15</v>
      </c>
      <c r="L19" s="39">
        <v>20</v>
      </c>
      <c r="M19" s="39">
        <v>25</v>
      </c>
      <c r="N19" s="39">
        <v>30</v>
      </c>
      <c r="O19" s="39">
        <v>35</v>
      </c>
      <c r="P19" s="39">
        <v>40</v>
      </c>
      <c r="Q19" s="39">
        <v>45</v>
      </c>
      <c r="R19" s="39">
        <v>225</v>
      </c>
      <c r="U19" s="38" t="s">
        <v>324</v>
      </c>
      <c r="V19" s="40">
        <v>1</v>
      </c>
    </row>
    <row r="26" spans="8:22" x14ac:dyDescent="0.25"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8:22" x14ac:dyDescent="0.25">
      <c r="H27" s="38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8:22" x14ac:dyDescent="0.25">
      <c r="H28" s="38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8:22" x14ac:dyDescent="0.25"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8:22" x14ac:dyDescent="0.25">
      <c r="H30" s="38"/>
      <c r="I30" s="39"/>
      <c r="J30" s="39"/>
      <c r="K30" s="39"/>
      <c r="L30" s="39"/>
      <c r="M30" s="39"/>
      <c r="N30" s="39"/>
      <c r="O30" s="39"/>
      <c r="P30" s="39"/>
      <c r="Q30" s="39"/>
      <c r="R30" s="39"/>
    </row>
    <row r="31" spans="8:22" x14ac:dyDescent="0.25">
      <c r="H31" s="38"/>
      <c r="I31" s="39"/>
      <c r="J31" s="39"/>
      <c r="K31" s="39"/>
      <c r="L31" s="39"/>
      <c r="M31" s="39"/>
      <c r="N31" s="39"/>
      <c r="O31" s="39"/>
      <c r="P31" s="39"/>
      <c r="Q31" s="39"/>
      <c r="R31" s="39"/>
    </row>
    <row r="32" spans="8:22" x14ac:dyDescent="0.25"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117"/>
  <sheetViews>
    <sheetView workbookViewId="0">
      <selection activeCell="I42" sqref="I42"/>
    </sheetView>
  </sheetViews>
  <sheetFormatPr baseColWidth="10" defaultRowHeight="15" x14ac:dyDescent="0.25"/>
  <cols>
    <col min="1" max="1" width="12" bestFit="1" customWidth="1"/>
    <col min="2" max="2" width="21.5703125" customWidth="1"/>
    <col min="3" max="3" width="51.28515625" bestFit="1" customWidth="1"/>
    <col min="4" max="4" width="39.7109375" bestFit="1" customWidth="1"/>
    <col min="5" max="5" width="7.5703125" customWidth="1"/>
    <col min="6" max="6" width="20.28515625" bestFit="1" customWidth="1"/>
    <col min="7" max="7" width="26.5703125" customWidth="1"/>
    <col min="8" max="8" width="13" bestFit="1" customWidth="1"/>
    <col min="9" max="9" width="21" bestFit="1" customWidth="1"/>
    <col min="10" max="10" width="18.85546875" bestFit="1" customWidth="1"/>
    <col min="11" max="11" width="14.28515625" bestFit="1" customWidth="1"/>
  </cols>
  <sheetData>
    <row r="1" spans="1:11" ht="16.5" thickBot="1" x14ac:dyDescent="0.3">
      <c r="A1" s="47" t="s">
        <v>300</v>
      </c>
      <c r="B1" s="48" t="s">
        <v>299</v>
      </c>
      <c r="C1" s="48" t="s">
        <v>298</v>
      </c>
      <c r="D1" s="48" t="s">
        <v>297</v>
      </c>
      <c r="E1" s="48" t="s">
        <v>296</v>
      </c>
      <c r="F1" s="48" t="s">
        <v>295</v>
      </c>
      <c r="G1" s="49" t="s">
        <v>294</v>
      </c>
      <c r="H1" s="41"/>
    </row>
    <row r="2" spans="1:11" ht="16.5" thickTop="1" x14ac:dyDescent="0.25">
      <c r="A2" s="42">
        <v>1</v>
      </c>
      <c r="B2" s="20">
        <v>5</v>
      </c>
      <c r="C2" s="32" t="s">
        <v>293</v>
      </c>
      <c r="D2" s="32" t="s">
        <v>292</v>
      </c>
      <c r="E2" s="31">
        <v>1332</v>
      </c>
      <c r="F2" s="30" t="s">
        <v>291</v>
      </c>
      <c r="G2" s="43">
        <v>121</v>
      </c>
      <c r="I2" s="38"/>
      <c r="J2" s="39"/>
      <c r="K2" s="39"/>
    </row>
    <row r="3" spans="1:11" ht="15.75" x14ac:dyDescent="0.25">
      <c r="A3" s="42">
        <v>2</v>
      </c>
      <c r="B3" s="20">
        <v>4</v>
      </c>
      <c r="C3" s="25" t="s">
        <v>290</v>
      </c>
      <c r="D3" s="25" t="s">
        <v>289</v>
      </c>
      <c r="E3" s="24">
        <v>1300</v>
      </c>
      <c r="F3" s="23" t="s">
        <v>288</v>
      </c>
      <c r="G3" s="44">
        <v>102</v>
      </c>
      <c r="I3" s="38"/>
      <c r="J3" s="39"/>
      <c r="K3" s="39"/>
    </row>
    <row r="4" spans="1:11" ht="15.75" x14ac:dyDescent="0.25">
      <c r="A4" s="42">
        <v>3</v>
      </c>
      <c r="B4" s="20">
        <v>4</v>
      </c>
      <c r="C4" s="25" t="s">
        <v>287</v>
      </c>
      <c r="D4" s="25" t="s">
        <v>286</v>
      </c>
      <c r="E4" s="24">
        <v>1342</v>
      </c>
      <c r="F4" s="23" t="s">
        <v>285</v>
      </c>
      <c r="G4" s="44">
        <v>78</v>
      </c>
      <c r="I4" s="38"/>
      <c r="J4" s="39"/>
      <c r="K4" s="39"/>
    </row>
    <row r="5" spans="1:11" ht="15.75" x14ac:dyDescent="0.25">
      <c r="A5" s="42">
        <v>4</v>
      </c>
      <c r="B5" s="20">
        <v>4</v>
      </c>
      <c r="C5" s="25" t="s">
        <v>284</v>
      </c>
      <c r="D5" s="25" t="s">
        <v>283</v>
      </c>
      <c r="E5" s="24">
        <v>1410</v>
      </c>
      <c r="F5" s="23" t="s">
        <v>282</v>
      </c>
      <c r="G5" s="44">
        <v>79</v>
      </c>
      <c r="I5" s="38"/>
      <c r="J5" s="39"/>
      <c r="K5" s="39"/>
    </row>
    <row r="6" spans="1:11" ht="15.75" x14ac:dyDescent="0.25">
      <c r="A6" s="42">
        <v>5</v>
      </c>
      <c r="B6" s="20">
        <v>4</v>
      </c>
      <c r="C6" s="25" t="s">
        <v>281</v>
      </c>
      <c r="D6" s="25" t="s">
        <v>280</v>
      </c>
      <c r="E6" s="24">
        <v>7061</v>
      </c>
      <c r="F6" s="23" t="s">
        <v>279</v>
      </c>
      <c r="G6" s="44">
        <v>75</v>
      </c>
      <c r="I6" s="38"/>
      <c r="J6" s="39"/>
      <c r="K6" s="39"/>
    </row>
    <row r="7" spans="1:11" ht="15.75" x14ac:dyDescent="0.25">
      <c r="A7" s="42">
        <v>6</v>
      </c>
      <c r="B7" s="20">
        <v>4</v>
      </c>
      <c r="C7" s="25" t="s">
        <v>278</v>
      </c>
      <c r="D7" s="25" t="s">
        <v>277</v>
      </c>
      <c r="E7" s="24">
        <v>4900</v>
      </c>
      <c r="F7" s="23" t="s">
        <v>276</v>
      </c>
      <c r="G7" s="44">
        <v>98</v>
      </c>
      <c r="I7" s="38"/>
      <c r="J7" s="39"/>
      <c r="K7" s="39"/>
    </row>
    <row r="8" spans="1:11" ht="15.75" x14ac:dyDescent="0.25">
      <c r="A8" s="42">
        <v>7</v>
      </c>
      <c r="B8" s="20">
        <v>4</v>
      </c>
      <c r="C8" s="25" t="s">
        <v>275</v>
      </c>
      <c r="D8" s="25" t="s">
        <v>274</v>
      </c>
      <c r="E8" s="24">
        <v>4040</v>
      </c>
      <c r="F8" s="23" t="s">
        <v>273</v>
      </c>
      <c r="G8" s="44">
        <v>96</v>
      </c>
    </row>
    <row r="9" spans="1:11" ht="15.75" x14ac:dyDescent="0.25">
      <c r="A9" s="42">
        <v>8</v>
      </c>
      <c r="B9" s="20">
        <v>4</v>
      </c>
      <c r="C9" s="25" t="s">
        <v>272</v>
      </c>
      <c r="D9" s="25" t="s">
        <v>271</v>
      </c>
      <c r="E9" s="24">
        <v>4000</v>
      </c>
      <c r="F9" s="23" t="s">
        <v>12</v>
      </c>
      <c r="G9" s="44">
        <v>149</v>
      </c>
    </row>
    <row r="10" spans="1:11" ht="15.75" x14ac:dyDescent="0.25">
      <c r="A10" s="42">
        <v>9</v>
      </c>
      <c r="B10" s="20">
        <v>4</v>
      </c>
      <c r="C10" s="25" t="s">
        <v>270</v>
      </c>
      <c r="D10" s="25" t="s">
        <v>269</v>
      </c>
      <c r="E10" s="24">
        <v>4020</v>
      </c>
      <c r="F10" s="23" t="s">
        <v>12</v>
      </c>
      <c r="G10" s="44">
        <v>219</v>
      </c>
    </row>
    <row r="11" spans="1:11" ht="15.75" x14ac:dyDescent="0.25">
      <c r="A11" s="42">
        <v>10</v>
      </c>
      <c r="B11" s="20">
        <v>4</v>
      </c>
      <c r="C11" s="25" t="s">
        <v>268</v>
      </c>
      <c r="D11" s="25" t="s">
        <v>267</v>
      </c>
      <c r="E11" s="24">
        <v>4950</v>
      </c>
      <c r="F11" s="23" t="s">
        <v>266</v>
      </c>
      <c r="G11" s="44">
        <v>70</v>
      </c>
    </row>
    <row r="12" spans="1:11" ht="15.75" x14ac:dyDescent="0.25">
      <c r="A12" s="42">
        <v>11</v>
      </c>
      <c r="B12" s="20">
        <v>4</v>
      </c>
      <c r="C12" s="25" t="s">
        <v>265</v>
      </c>
      <c r="D12" s="25" t="s">
        <v>264</v>
      </c>
      <c r="E12" s="24">
        <v>4000</v>
      </c>
      <c r="F12" s="23" t="s">
        <v>12</v>
      </c>
      <c r="G12" s="44">
        <v>105</v>
      </c>
    </row>
    <row r="13" spans="1:11" ht="15.75" x14ac:dyDescent="0.25">
      <c r="A13" s="42">
        <v>12</v>
      </c>
      <c r="B13" s="20">
        <v>4</v>
      </c>
      <c r="C13" s="25" t="s">
        <v>263</v>
      </c>
      <c r="D13" s="25" t="s">
        <v>262</v>
      </c>
      <c r="E13" s="24">
        <v>6700</v>
      </c>
      <c r="F13" s="23" t="s">
        <v>261</v>
      </c>
      <c r="G13" s="44">
        <v>78</v>
      </c>
    </row>
    <row r="14" spans="1:11" ht="15.75" x14ac:dyDescent="0.25">
      <c r="A14" s="42">
        <v>13</v>
      </c>
      <c r="B14" s="20">
        <v>4</v>
      </c>
      <c r="C14" s="25" t="s">
        <v>260</v>
      </c>
      <c r="D14" s="25" t="s">
        <v>259</v>
      </c>
      <c r="E14" s="24">
        <v>6940</v>
      </c>
      <c r="F14" s="23" t="s">
        <v>258</v>
      </c>
      <c r="G14" s="44">
        <v>111</v>
      </c>
    </row>
    <row r="15" spans="1:11" ht="15.75" x14ac:dyDescent="0.25">
      <c r="A15" s="42">
        <v>14</v>
      </c>
      <c r="B15" s="20">
        <v>4</v>
      </c>
      <c r="C15" s="25" t="s">
        <v>257</v>
      </c>
      <c r="D15" s="25" t="s">
        <v>256</v>
      </c>
      <c r="E15" s="24">
        <v>5100</v>
      </c>
      <c r="F15" s="23" t="s">
        <v>255</v>
      </c>
      <c r="G15" s="44">
        <v>110</v>
      </c>
    </row>
    <row r="16" spans="1:11" ht="15.75" x14ac:dyDescent="0.25">
      <c r="A16" s="42">
        <v>15</v>
      </c>
      <c r="B16" s="20">
        <v>4</v>
      </c>
      <c r="C16" s="25" t="s">
        <v>83</v>
      </c>
      <c r="D16" s="25" t="s">
        <v>254</v>
      </c>
      <c r="E16" s="24">
        <v>6000</v>
      </c>
      <c r="F16" s="23" t="s">
        <v>251</v>
      </c>
      <c r="G16" s="44">
        <v>57</v>
      </c>
    </row>
    <row r="17" spans="1:7" ht="15.75" x14ac:dyDescent="0.25">
      <c r="A17" s="42">
        <v>16</v>
      </c>
      <c r="B17" s="20">
        <v>4</v>
      </c>
      <c r="C17" s="25" t="s">
        <v>253</v>
      </c>
      <c r="D17" s="25" t="s">
        <v>252</v>
      </c>
      <c r="E17" s="24">
        <v>6000</v>
      </c>
      <c r="F17" s="23" t="s">
        <v>251</v>
      </c>
      <c r="G17" s="44">
        <v>65</v>
      </c>
    </row>
    <row r="18" spans="1:7" ht="15.75" x14ac:dyDescent="0.25">
      <c r="A18" s="42">
        <v>17</v>
      </c>
      <c r="B18" s="20">
        <v>4</v>
      </c>
      <c r="C18" s="25" t="s">
        <v>250</v>
      </c>
      <c r="D18" s="25" t="s">
        <v>249</v>
      </c>
      <c r="E18" s="24">
        <v>7000</v>
      </c>
      <c r="F18" s="23" t="s">
        <v>248</v>
      </c>
      <c r="G18" s="44">
        <v>67</v>
      </c>
    </row>
    <row r="19" spans="1:7" ht="15.75" x14ac:dyDescent="0.25">
      <c r="A19" s="42">
        <v>18</v>
      </c>
      <c r="B19" s="20">
        <v>3</v>
      </c>
      <c r="C19" s="25" t="s">
        <v>247</v>
      </c>
      <c r="D19" s="25" t="s">
        <v>246</v>
      </c>
      <c r="E19" s="24">
        <v>1400</v>
      </c>
      <c r="F19" s="23" t="s">
        <v>245</v>
      </c>
      <c r="G19" s="44">
        <v>115</v>
      </c>
    </row>
    <row r="20" spans="1:7" ht="15.75" x14ac:dyDescent="0.25">
      <c r="A20" s="42">
        <v>19</v>
      </c>
      <c r="B20" s="20">
        <v>3</v>
      </c>
      <c r="C20" s="25" t="s">
        <v>244</v>
      </c>
      <c r="D20" s="25" t="s">
        <v>243</v>
      </c>
      <c r="E20" s="24">
        <v>7500</v>
      </c>
      <c r="F20" s="23" t="s">
        <v>242</v>
      </c>
      <c r="G20" s="44">
        <v>60</v>
      </c>
    </row>
    <row r="21" spans="1:7" ht="15.75" x14ac:dyDescent="0.25">
      <c r="A21" s="42">
        <v>20</v>
      </c>
      <c r="B21" s="20">
        <v>3</v>
      </c>
      <c r="C21" s="25" t="s">
        <v>241</v>
      </c>
      <c r="D21" s="25" t="s">
        <v>240</v>
      </c>
      <c r="E21" s="24">
        <v>4000</v>
      </c>
      <c r="F21" s="23" t="s">
        <v>12</v>
      </c>
      <c r="G21" s="44">
        <v>78</v>
      </c>
    </row>
    <row r="22" spans="1:7" ht="15.75" x14ac:dyDescent="0.25">
      <c r="A22" s="42">
        <v>21</v>
      </c>
      <c r="B22" s="20">
        <v>5</v>
      </c>
      <c r="C22" s="27" t="s">
        <v>239</v>
      </c>
      <c r="D22" s="27" t="s">
        <v>238</v>
      </c>
      <c r="E22" s="24">
        <v>1000</v>
      </c>
      <c r="F22" s="23" t="s">
        <v>148</v>
      </c>
      <c r="G22" s="45">
        <v>429</v>
      </c>
    </row>
    <row r="23" spans="1:7" ht="15.75" x14ac:dyDescent="0.25">
      <c r="A23" s="42">
        <v>22</v>
      </c>
      <c r="B23" s="20">
        <v>5</v>
      </c>
      <c r="C23" s="27" t="s">
        <v>237</v>
      </c>
      <c r="D23" s="27" t="s">
        <v>236</v>
      </c>
      <c r="E23" s="24">
        <v>1000</v>
      </c>
      <c r="F23" s="23" t="s">
        <v>148</v>
      </c>
      <c r="G23" s="45">
        <v>224</v>
      </c>
    </row>
    <row r="24" spans="1:7" ht="15.75" x14ac:dyDescent="0.25">
      <c r="A24" s="42">
        <v>23</v>
      </c>
      <c r="B24" s="20">
        <v>5</v>
      </c>
      <c r="C24" s="27" t="s">
        <v>235</v>
      </c>
      <c r="D24" s="27" t="s">
        <v>234</v>
      </c>
      <c r="E24" s="24">
        <v>1000</v>
      </c>
      <c r="F24" s="23" t="s">
        <v>148</v>
      </c>
      <c r="G24" s="45">
        <v>281</v>
      </c>
    </row>
    <row r="25" spans="1:7" ht="15.75" x14ac:dyDescent="0.25">
      <c r="A25" s="42">
        <v>24</v>
      </c>
      <c r="B25" s="20">
        <v>5</v>
      </c>
      <c r="C25" s="27" t="s">
        <v>233</v>
      </c>
      <c r="D25" s="27" t="s">
        <v>232</v>
      </c>
      <c r="E25" s="24">
        <v>1000</v>
      </c>
      <c r="F25" s="23" t="s">
        <v>148</v>
      </c>
      <c r="G25" s="45">
        <v>266</v>
      </c>
    </row>
    <row r="26" spans="1:7" ht="15.75" x14ac:dyDescent="0.25">
      <c r="A26" s="42">
        <v>25</v>
      </c>
      <c r="B26" s="20">
        <v>5</v>
      </c>
      <c r="C26" s="27" t="s">
        <v>231</v>
      </c>
      <c r="D26" s="27" t="s">
        <v>230</v>
      </c>
      <c r="E26" s="24">
        <v>1050</v>
      </c>
      <c r="F26" s="23" t="s">
        <v>148</v>
      </c>
      <c r="G26" s="45">
        <v>269</v>
      </c>
    </row>
    <row r="27" spans="1:7" ht="15.75" x14ac:dyDescent="0.25">
      <c r="A27" s="42">
        <v>26</v>
      </c>
      <c r="B27" s="20">
        <v>5</v>
      </c>
      <c r="C27" s="27" t="s">
        <v>229</v>
      </c>
      <c r="D27" s="27" t="s">
        <v>228</v>
      </c>
      <c r="E27" s="24">
        <v>1000</v>
      </c>
      <c r="F27" s="23" t="s">
        <v>148</v>
      </c>
      <c r="G27" s="45">
        <v>410</v>
      </c>
    </row>
    <row r="28" spans="1:7" ht="15.75" x14ac:dyDescent="0.25">
      <c r="A28" s="42">
        <v>27</v>
      </c>
      <c r="B28" s="20">
        <v>5</v>
      </c>
      <c r="C28" s="27" t="s">
        <v>227</v>
      </c>
      <c r="D28" s="27" t="s">
        <v>226</v>
      </c>
      <c r="E28" s="24">
        <v>1210</v>
      </c>
      <c r="F28" s="23" t="s">
        <v>148</v>
      </c>
      <c r="G28" s="45">
        <v>302</v>
      </c>
    </row>
    <row r="29" spans="1:7" ht="15.75" x14ac:dyDescent="0.25">
      <c r="A29" s="42">
        <v>28</v>
      </c>
      <c r="B29" s="20">
        <v>5</v>
      </c>
      <c r="C29" s="27" t="s">
        <v>225</v>
      </c>
      <c r="D29" s="27" t="s">
        <v>224</v>
      </c>
      <c r="E29" s="24">
        <v>1000</v>
      </c>
      <c r="F29" s="23" t="s">
        <v>148</v>
      </c>
      <c r="G29" s="45">
        <v>183</v>
      </c>
    </row>
    <row r="30" spans="1:7" ht="15.75" x14ac:dyDescent="0.25">
      <c r="A30" s="42">
        <v>29</v>
      </c>
      <c r="B30" s="20">
        <v>5</v>
      </c>
      <c r="C30" s="27" t="s">
        <v>223</v>
      </c>
      <c r="D30" s="27" t="s">
        <v>222</v>
      </c>
      <c r="E30" s="24">
        <v>1210</v>
      </c>
      <c r="F30" s="23" t="s">
        <v>148</v>
      </c>
      <c r="G30" s="45">
        <v>507</v>
      </c>
    </row>
    <row r="31" spans="1:7" ht="15.75" x14ac:dyDescent="0.25">
      <c r="A31" s="42">
        <v>30</v>
      </c>
      <c r="B31" s="20">
        <v>5</v>
      </c>
      <c r="C31" s="28" t="s">
        <v>221</v>
      </c>
      <c r="D31" s="27" t="s">
        <v>220</v>
      </c>
      <c r="E31" s="24">
        <v>1210</v>
      </c>
      <c r="F31" s="23" t="s">
        <v>148</v>
      </c>
      <c r="G31" s="45">
        <v>315</v>
      </c>
    </row>
    <row r="32" spans="1:7" ht="15.75" x14ac:dyDescent="0.25">
      <c r="A32" s="42">
        <v>31</v>
      </c>
      <c r="B32" s="20">
        <v>5</v>
      </c>
      <c r="C32" s="27" t="s">
        <v>219</v>
      </c>
      <c r="D32" s="27" t="s">
        <v>218</v>
      </c>
      <c r="E32" s="24">
        <v>1050</v>
      </c>
      <c r="F32" s="23" t="s">
        <v>148</v>
      </c>
      <c r="G32" s="45">
        <v>257</v>
      </c>
    </row>
    <row r="33" spans="1:7" ht="15.75" x14ac:dyDescent="0.25">
      <c r="A33" s="42">
        <v>32</v>
      </c>
      <c r="B33" s="20">
        <v>4</v>
      </c>
      <c r="C33" s="27" t="s">
        <v>217</v>
      </c>
      <c r="D33" s="27" t="s">
        <v>216</v>
      </c>
      <c r="E33" s="24">
        <v>1000</v>
      </c>
      <c r="F33" s="23" t="s">
        <v>148</v>
      </c>
      <c r="G33" s="45">
        <v>193</v>
      </c>
    </row>
    <row r="34" spans="1:7" ht="15.75" x14ac:dyDescent="0.25">
      <c r="A34" s="42">
        <v>33</v>
      </c>
      <c r="B34" s="20">
        <v>4</v>
      </c>
      <c r="C34" s="27" t="s">
        <v>215</v>
      </c>
      <c r="D34" s="27" t="s">
        <v>214</v>
      </c>
      <c r="E34" s="24">
        <v>1050</v>
      </c>
      <c r="F34" s="23" t="s">
        <v>148</v>
      </c>
      <c r="G34" s="45">
        <v>142</v>
      </c>
    </row>
    <row r="35" spans="1:7" ht="15.75" x14ac:dyDescent="0.25">
      <c r="A35" s="42">
        <v>34</v>
      </c>
      <c r="B35" s="20">
        <v>4</v>
      </c>
      <c r="C35" s="27" t="s">
        <v>213</v>
      </c>
      <c r="D35" s="27" t="s">
        <v>212</v>
      </c>
      <c r="E35" s="24">
        <v>1060</v>
      </c>
      <c r="F35" s="23" t="s">
        <v>148</v>
      </c>
      <c r="G35" s="45">
        <v>200</v>
      </c>
    </row>
    <row r="36" spans="1:7" ht="15.75" x14ac:dyDescent="0.25">
      <c r="A36" s="42">
        <v>35</v>
      </c>
      <c r="B36" s="20">
        <v>4</v>
      </c>
      <c r="C36" s="27" t="s">
        <v>211</v>
      </c>
      <c r="D36" s="27" t="s">
        <v>210</v>
      </c>
      <c r="E36" s="24">
        <v>1210</v>
      </c>
      <c r="F36" s="23" t="s">
        <v>148</v>
      </c>
      <c r="G36" s="45">
        <v>360</v>
      </c>
    </row>
    <row r="37" spans="1:7" ht="15.75" x14ac:dyDescent="0.25">
      <c r="A37" s="42">
        <v>36</v>
      </c>
      <c r="B37" s="20">
        <v>4</v>
      </c>
      <c r="C37" s="27" t="s">
        <v>209</v>
      </c>
      <c r="D37" s="27" t="s">
        <v>208</v>
      </c>
      <c r="E37" s="24">
        <v>1000</v>
      </c>
      <c r="F37" s="23" t="s">
        <v>148</v>
      </c>
      <c r="G37" s="45">
        <v>241</v>
      </c>
    </row>
    <row r="38" spans="1:7" ht="15.75" x14ac:dyDescent="0.25">
      <c r="A38" s="42">
        <v>37</v>
      </c>
      <c r="B38" s="20">
        <v>4</v>
      </c>
      <c r="C38" s="27" t="s">
        <v>207</v>
      </c>
      <c r="D38" s="27" t="s">
        <v>206</v>
      </c>
      <c r="E38" s="24">
        <v>1050</v>
      </c>
      <c r="F38" s="23" t="s">
        <v>148</v>
      </c>
      <c r="G38" s="45">
        <v>99</v>
      </c>
    </row>
    <row r="39" spans="1:7" ht="15.75" x14ac:dyDescent="0.25">
      <c r="A39" s="42">
        <v>38</v>
      </c>
      <c r="B39" s="20">
        <v>4</v>
      </c>
      <c r="C39" s="27" t="s">
        <v>205</v>
      </c>
      <c r="D39" s="27" t="s">
        <v>204</v>
      </c>
      <c r="E39" s="24">
        <v>1000</v>
      </c>
      <c r="F39" s="23" t="s">
        <v>148</v>
      </c>
      <c r="G39" s="45">
        <v>155</v>
      </c>
    </row>
    <row r="40" spans="1:7" ht="15.75" x14ac:dyDescent="0.25">
      <c r="A40" s="42">
        <v>39</v>
      </c>
      <c r="B40" s="20">
        <v>4</v>
      </c>
      <c r="C40" s="27" t="s">
        <v>203</v>
      </c>
      <c r="D40" s="27" t="s">
        <v>202</v>
      </c>
      <c r="E40" s="24">
        <v>1000</v>
      </c>
      <c r="F40" s="23" t="s">
        <v>148</v>
      </c>
      <c r="G40" s="45">
        <v>77</v>
      </c>
    </row>
    <row r="41" spans="1:7" ht="15.75" x14ac:dyDescent="0.25">
      <c r="A41" s="42">
        <v>40</v>
      </c>
      <c r="B41" s="20">
        <v>4</v>
      </c>
      <c r="C41" s="27" t="s">
        <v>201</v>
      </c>
      <c r="D41" s="27" t="s">
        <v>200</v>
      </c>
      <c r="E41" s="24">
        <v>1000</v>
      </c>
      <c r="F41" s="23" t="s">
        <v>148</v>
      </c>
      <c r="G41" s="45">
        <v>133</v>
      </c>
    </row>
    <row r="42" spans="1:7" ht="15.75" x14ac:dyDescent="0.25">
      <c r="A42" s="42">
        <v>41</v>
      </c>
      <c r="B42" s="20">
        <v>4</v>
      </c>
      <c r="C42" s="27" t="s">
        <v>199</v>
      </c>
      <c r="D42" s="27" t="s">
        <v>198</v>
      </c>
      <c r="E42" s="24">
        <v>1000</v>
      </c>
      <c r="F42" s="23" t="s">
        <v>148</v>
      </c>
      <c r="G42" s="45">
        <v>100</v>
      </c>
    </row>
    <row r="43" spans="1:7" ht="15.75" x14ac:dyDescent="0.25">
      <c r="A43" s="42">
        <v>42</v>
      </c>
      <c r="B43" s="20">
        <v>4</v>
      </c>
      <c r="C43" s="27" t="s">
        <v>197</v>
      </c>
      <c r="D43" s="27" t="s">
        <v>196</v>
      </c>
      <c r="E43" s="24">
        <v>1000</v>
      </c>
      <c r="F43" s="23" t="s">
        <v>148</v>
      </c>
      <c r="G43" s="45">
        <v>128</v>
      </c>
    </row>
    <row r="44" spans="1:7" ht="15.75" x14ac:dyDescent="0.25">
      <c r="A44" s="42">
        <v>43</v>
      </c>
      <c r="B44" s="20">
        <v>4</v>
      </c>
      <c r="C44" s="27" t="s">
        <v>195</v>
      </c>
      <c r="D44" s="27" t="s">
        <v>194</v>
      </c>
      <c r="E44" s="24">
        <v>1140</v>
      </c>
      <c r="F44" s="23" t="s">
        <v>148</v>
      </c>
      <c r="G44" s="45">
        <v>120</v>
      </c>
    </row>
    <row r="45" spans="1:7" ht="15.75" x14ac:dyDescent="0.25">
      <c r="A45" s="42">
        <v>44</v>
      </c>
      <c r="B45" s="20">
        <v>4</v>
      </c>
      <c r="C45" s="27" t="s">
        <v>193</v>
      </c>
      <c r="D45" s="27" t="s">
        <v>192</v>
      </c>
      <c r="E45" s="24">
        <v>1000</v>
      </c>
      <c r="F45" s="23" t="s">
        <v>148</v>
      </c>
      <c r="G45" s="45">
        <v>81</v>
      </c>
    </row>
    <row r="46" spans="1:7" ht="15.75" x14ac:dyDescent="0.25">
      <c r="A46" s="42">
        <v>45</v>
      </c>
      <c r="B46" s="20">
        <v>4</v>
      </c>
      <c r="C46" s="27" t="s">
        <v>191</v>
      </c>
      <c r="D46" s="27" t="s">
        <v>190</v>
      </c>
      <c r="E46" s="24">
        <v>1060</v>
      </c>
      <c r="F46" s="23" t="s">
        <v>148</v>
      </c>
      <c r="G46" s="45">
        <v>80</v>
      </c>
    </row>
    <row r="47" spans="1:7" ht="15.75" x14ac:dyDescent="0.25">
      <c r="A47" s="42">
        <v>46</v>
      </c>
      <c r="B47" s="20">
        <v>4</v>
      </c>
      <c r="C47" s="27" t="s">
        <v>189</v>
      </c>
      <c r="D47" s="27" t="s">
        <v>188</v>
      </c>
      <c r="E47" s="24">
        <v>1210</v>
      </c>
      <c r="F47" s="23" t="s">
        <v>148</v>
      </c>
      <c r="G47" s="45">
        <v>101</v>
      </c>
    </row>
    <row r="48" spans="1:7" ht="15.75" x14ac:dyDescent="0.25">
      <c r="A48" s="42">
        <v>47</v>
      </c>
      <c r="B48" s="20">
        <v>4</v>
      </c>
      <c r="C48" s="27" t="s">
        <v>187</v>
      </c>
      <c r="D48" s="27" t="s">
        <v>186</v>
      </c>
      <c r="E48" s="24">
        <v>1000</v>
      </c>
      <c r="F48" s="23" t="s">
        <v>148</v>
      </c>
      <c r="G48" s="45">
        <v>88</v>
      </c>
    </row>
    <row r="49" spans="1:7" ht="15.75" x14ac:dyDescent="0.25">
      <c r="A49" s="42">
        <v>48</v>
      </c>
      <c r="B49" s="20">
        <v>4</v>
      </c>
      <c r="C49" s="27" t="s">
        <v>185</v>
      </c>
      <c r="D49" s="27" t="s">
        <v>184</v>
      </c>
      <c r="E49" s="24">
        <v>1831</v>
      </c>
      <c r="F49" s="23" t="s">
        <v>157</v>
      </c>
      <c r="G49" s="45">
        <v>125</v>
      </c>
    </row>
    <row r="50" spans="1:7" ht="15.75" x14ac:dyDescent="0.25">
      <c r="A50" s="42">
        <v>49</v>
      </c>
      <c r="B50" s="20">
        <v>4</v>
      </c>
      <c r="C50" s="27" t="s">
        <v>183</v>
      </c>
      <c r="D50" s="27" t="s">
        <v>182</v>
      </c>
      <c r="E50" s="24">
        <v>1831</v>
      </c>
      <c r="F50" s="23" t="s">
        <v>157</v>
      </c>
      <c r="G50" s="45">
        <v>310</v>
      </c>
    </row>
    <row r="51" spans="1:7" ht="15.75" x14ac:dyDescent="0.25">
      <c r="A51" s="42">
        <v>50</v>
      </c>
      <c r="B51" s="20">
        <v>4</v>
      </c>
      <c r="C51" s="27" t="s">
        <v>181</v>
      </c>
      <c r="D51" s="27" t="s">
        <v>180</v>
      </c>
      <c r="E51" s="24">
        <v>1040</v>
      </c>
      <c r="F51" s="23" t="s">
        <v>148</v>
      </c>
      <c r="G51" s="45">
        <v>86</v>
      </c>
    </row>
    <row r="52" spans="1:7" ht="15.75" x14ac:dyDescent="0.25">
      <c r="A52" s="42">
        <v>51</v>
      </c>
      <c r="B52" s="20">
        <v>4</v>
      </c>
      <c r="C52" s="25" t="s">
        <v>179</v>
      </c>
      <c r="D52" s="27" t="s">
        <v>178</v>
      </c>
      <c r="E52" s="24">
        <v>1640</v>
      </c>
      <c r="F52" s="23" t="s">
        <v>177</v>
      </c>
      <c r="G52" s="45">
        <v>84</v>
      </c>
    </row>
    <row r="53" spans="1:7" ht="15.75" x14ac:dyDescent="0.25">
      <c r="A53" s="42">
        <v>52</v>
      </c>
      <c r="B53" s="20">
        <v>3</v>
      </c>
      <c r="C53" s="27" t="s">
        <v>176</v>
      </c>
      <c r="D53" s="27" t="s">
        <v>175</v>
      </c>
      <c r="E53" s="24">
        <v>1853</v>
      </c>
      <c r="F53" s="23" t="s">
        <v>174</v>
      </c>
      <c r="G53" s="45">
        <v>75</v>
      </c>
    </row>
    <row r="54" spans="1:7" ht="15.75" x14ac:dyDescent="0.25">
      <c r="A54" s="42">
        <v>53</v>
      </c>
      <c r="B54" s="20">
        <v>3</v>
      </c>
      <c r="C54" s="27" t="s">
        <v>173</v>
      </c>
      <c r="D54" s="27" t="s">
        <v>172</v>
      </c>
      <c r="E54" s="24">
        <v>1832</v>
      </c>
      <c r="F54" s="23" t="s">
        <v>157</v>
      </c>
      <c r="G54" s="45">
        <v>205</v>
      </c>
    </row>
    <row r="55" spans="1:7" ht="15.75" x14ac:dyDescent="0.25">
      <c r="A55" s="42">
        <v>54</v>
      </c>
      <c r="B55" s="20">
        <v>3</v>
      </c>
      <c r="C55" s="27" t="s">
        <v>171</v>
      </c>
      <c r="D55" s="27" t="s">
        <v>170</v>
      </c>
      <c r="E55" s="24">
        <v>1000</v>
      </c>
      <c r="F55" s="23" t="s">
        <v>148</v>
      </c>
      <c r="G55" s="45">
        <v>96</v>
      </c>
    </row>
    <row r="56" spans="1:7" ht="15.75" x14ac:dyDescent="0.25">
      <c r="A56" s="42">
        <v>55</v>
      </c>
      <c r="B56" s="20">
        <v>3</v>
      </c>
      <c r="C56" s="27" t="s">
        <v>169</v>
      </c>
      <c r="D56" s="27" t="s">
        <v>168</v>
      </c>
      <c r="E56" s="24">
        <v>1180</v>
      </c>
      <c r="F56" s="23" t="s">
        <v>148</v>
      </c>
      <c r="G56" s="45">
        <v>101</v>
      </c>
    </row>
    <row r="57" spans="1:7" ht="15.75" x14ac:dyDescent="0.25">
      <c r="A57" s="42">
        <v>56</v>
      </c>
      <c r="B57" s="20">
        <v>3</v>
      </c>
      <c r="C57" s="27" t="s">
        <v>167</v>
      </c>
      <c r="D57" s="27" t="s">
        <v>166</v>
      </c>
      <c r="E57" s="24">
        <v>1000</v>
      </c>
      <c r="F57" s="23" t="s">
        <v>148</v>
      </c>
      <c r="G57" s="45">
        <v>180</v>
      </c>
    </row>
    <row r="58" spans="1:7" ht="15.75" x14ac:dyDescent="0.25">
      <c r="A58" s="42">
        <v>57</v>
      </c>
      <c r="B58" s="20">
        <v>3</v>
      </c>
      <c r="C58" s="27" t="s">
        <v>165</v>
      </c>
      <c r="D58" s="27" t="s">
        <v>164</v>
      </c>
      <c r="E58" s="24">
        <v>1000</v>
      </c>
      <c r="F58" s="23" t="s">
        <v>148</v>
      </c>
      <c r="G58" s="45">
        <v>100</v>
      </c>
    </row>
    <row r="59" spans="1:7" ht="15.75" x14ac:dyDescent="0.25">
      <c r="A59" s="42">
        <v>58</v>
      </c>
      <c r="B59" s="20">
        <v>3</v>
      </c>
      <c r="C59" s="27" t="s">
        <v>163</v>
      </c>
      <c r="D59" s="27" t="s">
        <v>162</v>
      </c>
      <c r="E59" s="24">
        <v>1000</v>
      </c>
      <c r="F59" s="23" t="s">
        <v>148</v>
      </c>
      <c r="G59" s="45">
        <v>169</v>
      </c>
    </row>
    <row r="60" spans="1:7" ht="15.75" x14ac:dyDescent="0.25">
      <c r="A60" s="42">
        <v>59</v>
      </c>
      <c r="B60" s="20">
        <v>3</v>
      </c>
      <c r="C60" s="27" t="s">
        <v>161</v>
      </c>
      <c r="D60" s="27" t="s">
        <v>160</v>
      </c>
      <c r="E60" s="24">
        <v>1000</v>
      </c>
      <c r="F60" s="23" t="s">
        <v>148</v>
      </c>
      <c r="G60" s="45">
        <v>235</v>
      </c>
    </row>
    <row r="61" spans="1:7" ht="15.75" x14ac:dyDescent="0.25">
      <c r="A61" s="42">
        <v>60</v>
      </c>
      <c r="B61" s="20">
        <v>3</v>
      </c>
      <c r="C61" s="27" t="s">
        <v>159</v>
      </c>
      <c r="D61" s="27" t="s">
        <v>158</v>
      </c>
      <c r="E61" s="24">
        <v>1881</v>
      </c>
      <c r="F61" s="23" t="s">
        <v>157</v>
      </c>
      <c r="G61" s="45">
        <v>96</v>
      </c>
    </row>
    <row r="62" spans="1:7" ht="15.75" x14ac:dyDescent="0.25">
      <c r="A62" s="42">
        <v>61</v>
      </c>
      <c r="B62" s="20">
        <v>3</v>
      </c>
      <c r="C62" s="27" t="s">
        <v>156</v>
      </c>
      <c r="D62" s="27" t="s">
        <v>155</v>
      </c>
      <c r="E62" s="24">
        <v>1060</v>
      </c>
      <c r="F62" s="23" t="s">
        <v>148</v>
      </c>
      <c r="G62" s="45">
        <v>77</v>
      </c>
    </row>
    <row r="63" spans="1:7" ht="15.75" x14ac:dyDescent="0.25">
      <c r="A63" s="42">
        <v>62</v>
      </c>
      <c r="B63" s="20">
        <v>3</v>
      </c>
      <c r="C63" s="27" t="s">
        <v>83</v>
      </c>
      <c r="D63" s="27" t="s">
        <v>154</v>
      </c>
      <c r="E63" s="24">
        <v>1020</v>
      </c>
      <c r="F63" s="23" t="s">
        <v>148</v>
      </c>
      <c r="G63" s="45">
        <v>79</v>
      </c>
    </row>
    <row r="64" spans="1:7" ht="15.75" x14ac:dyDescent="0.25">
      <c r="A64" s="42">
        <v>63</v>
      </c>
      <c r="B64" s="20">
        <v>3</v>
      </c>
      <c r="C64" s="27" t="s">
        <v>153</v>
      </c>
      <c r="D64" s="27" t="s">
        <v>152</v>
      </c>
      <c r="E64" s="24">
        <v>1620</v>
      </c>
      <c r="F64" s="23" t="s">
        <v>151</v>
      </c>
      <c r="G64" s="45">
        <v>76</v>
      </c>
    </row>
    <row r="65" spans="1:7" ht="15.75" x14ac:dyDescent="0.25">
      <c r="A65" s="42">
        <v>64</v>
      </c>
      <c r="B65" s="20">
        <v>3</v>
      </c>
      <c r="C65" s="27" t="s">
        <v>150</v>
      </c>
      <c r="D65" s="27" t="s">
        <v>149</v>
      </c>
      <c r="E65" s="24">
        <v>1210</v>
      </c>
      <c r="F65" s="23" t="s">
        <v>148</v>
      </c>
      <c r="G65" s="45">
        <v>98</v>
      </c>
    </row>
    <row r="66" spans="1:7" ht="15.75" x14ac:dyDescent="0.25">
      <c r="A66" s="42">
        <v>65</v>
      </c>
      <c r="B66" s="20">
        <v>5</v>
      </c>
      <c r="C66" s="25" t="s">
        <v>147</v>
      </c>
      <c r="D66" s="25" t="s">
        <v>146</v>
      </c>
      <c r="E66" s="24">
        <v>2000</v>
      </c>
      <c r="F66" s="23" t="s">
        <v>111</v>
      </c>
      <c r="G66" s="44">
        <v>178</v>
      </c>
    </row>
    <row r="67" spans="1:7" ht="15.75" x14ac:dyDescent="0.25">
      <c r="A67" s="42">
        <v>66</v>
      </c>
      <c r="B67" s="20">
        <v>4</v>
      </c>
      <c r="C67" s="25" t="s">
        <v>145</v>
      </c>
      <c r="D67" s="25" t="s">
        <v>144</v>
      </c>
      <c r="E67" s="24">
        <v>2000</v>
      </c>
      <c r="F67" s="23" t="s">
        <v>111</v>
      </c>
      <c r="G67" s="44">
        <v>123</v>
      </c>
    </row>
    <row r="68" spans="1:7" ht="15.75" x14ac:dyDescent="0.25">
      <c r="A68" s="42">
        <v>67</v>
      </c>
      <c r="B68" s="20">
        <v>4</v>
      </c>
      <c r="C68" s="25" t="s">
        <v>143</v>
      </c>
      <c r="D68" s="25" t="s">
        <v>142</v>
      </c>
      <c r="E68" s="24">
        <v>2000</v>
      </c>
      <c r="F68" s="23" t="s">
        <v>111</v>
      </c>
      <c r="G68" s="44">
        <v>127</v>
      </c>
    </row>
    <row r="69" spans="1:7" ht="15.75" x14ac:dyDescent="0.25">
      <c r="A69" s="42">
        <v>68</v>
      </c>
      <c r="B69" s="20">
        <v>4</v>
      </c>
      <c r="C69" s="25" t="s">
        <v>141</v>
      </c>
      <c r="D69" s="25" t="s">
        <v>140</v>
      </c>
      <c r="E69" s="24">
        <v>2000</v>
      </c>
      <c r="F69" s="23" t="s">
        <v>111</v>
      </c>
      <c r="G69" s="44">
        <v>211</v>
      </c>
    </row>
    <row r="70" spans="1:7" ht="15.75" x14ac:dyDescent="0.25">
      <c r="A70" s="42">
        <v>69</v>
      </c>
      <c r="B70" s="20">
        <v>4</v>
      </c>
      <c r="C70" s="25" t="s">
        <v>139</v>
      </c>
      <c r="D70" s="25" t="s">
        <v>138</v>
      </c>
      <c r="E70" s="24">
        <v>2018</v>
      </c>
      <c r="F70" s="23" t="s">
        <v>111</v>
      </c>
      <c r="G70" s="44">
        <v>229</v>
      </c>
    </row>
    <row r="71" spans="1:7" ht="15.75" x14ac:dyDescent="0.25">
      <c r="A71" s="42">
        <v>70</v>
      </c>
      <c r="B71" s="20">
        <v>4</v>
      </c>
      <c r="C71" s="25" t="s">
        <v>137</v>
      </c>
      <c r="D71" s="25" t="s">
        <v>136</v>
      </c>
      <c r="E71" s="24">
        <v>2018</v>
      </c>
      <c r="F71" s="23" t="s">
        <v>111</v>
      </c>
      <c r="G71" s="44">
        <v>127</v>
      </c>
    </row>
    <row r="72" spans="1:7" ht="15.75" x14ac:dyDescent="0.25">
      <c r="A72" s="42">
        <v>71</v>
      </c>
      <c r="B72" s="20">
        <v>4</v>
      </c>
      <c r="C72" s="25" t="s">
        <v>135</v>
      </c>
      <c r="D72" s="25" t="s">
        <v>134</v>
      </c>
      <c r="E72" s="24">
        <v>2140</v>
      </c>
      <c r="F72" s="23" t="s">
        <v>131</v>
      </c>
      <c r="G72" s="44">
        <v>94</v>
      </c>
    </row>
    <row r="73" spans="1:7" ht="15.75" x14ac:dyDescent="0.25">
      <c r="A73" s="42">
        <v>72</v>
      </c>
      <c r="B73" s="20">
        <v>4</v>
      </c>
      <c r="C73" s="25" t="s">
        <v>133</v>
      </c>
      <c r="D73" s="25" t="s">
        <v>132</v>
      </c>
      <c r="E73" s="24">
        <v>2140</v>
      </c>
      <c r="F73" s="23" t="s">
        <v>131</v>
      </c>
      <c r="G73" s="44">
        <v>203</v>
      </c>
    </row>
    <row r="74" spans="1:7" ht="15.75" x14ac:dyDescent="0.25">
      <c r="A74" s="42">
        <v>73</v>
      </c>
      <c r="B74" s="20">
        <v>4</v>
      </c>
      <c r="C74" s="25" t="s">
        <v>107</v>
      </c>
      <c r="D74" s="25" t="s">
        <v>130</v>
      </c>
      <c r="E74" s="24">
        <v>2020</v>
      </c>
      <c r="F74" s="23" t="s">
        <v>111</v>
      </c>
      <c r="G74" s="44">
        <v>260</v>
      </c>
    </row>
    <row r="75" spans="1:7" ht="15.75" x14ac:dyDescent="0.25">
      <c r="A75" s="42">
        <v>74</v>
      </c>
      <c r="B75" s="20">
        <v>4</v>
      </c>
      <c r="C75" s="25" t="s">
        <v>129</v>
      </c>
      <c r="D75" s="25" t="s">
        <v>128</v>
      </c>
      <c r="E75" s="24">
        <v>2018</v>
      </c>
      <c r="F75" s="23" t="s">
        <v>111</v>
      </c>
      <c r="G75" s="44">
        <v>80</v>
      </c>
    </row>
    <row r="76" spans="1:7" ht="15.75" x14ac:dyDescent="0.25">
      <c r="A76" s="42">
        <v>75</v>
      </c>
      <c r="B76" s="20">
        <v>4</v>
      </c>
      <c r="C76" s="25" t="s">
        <v>127</v>
      </c>
      <c r="D76" s="25" t="s">
        <v>126</v>
      </c>
      <c r="E76" s="24">
        <v>2018</v>
      </c>
      <c r="F76" s="23" t="s">
        <v>111</v>
      </c>
      <c r="G76" s="44">
        <v>80</v>
      </c>
    </row>
    <row r="77" spans="1:7" ht="15.75" x14ac:dyDescent="0.25">
      <c r="A77" s="42">
        <v>76</v>
      </c>
      <c r="B77" s="20">
        <v>4</v>
      </c>
      <c r="C77" s="25" t="s">
        <v>125</v>
      </c>
      <c r="D77" s="25" t="s">
        <v>124</v>
      </c>
      <c r="E77" s="24">
        <v>2018</v>
      </c>
      <c r="F77" s="23" t="s">
        <v>111</v>
      </c>
      <c r="G77" s="44">
        <v>289</v>
      </c>
    </row>
    <row r="78" spans="1:7" ht="15.75" x14ac:dyDescent="0.25">
      <c r="A78" s="42">
        <v>77</v>
      </c>
      <c r="B78" s="20">
        <v>4</v>
      </c>
      <c r="C78" s="25" t="s">
        <v>123</v>
      </c>
      <c r="D78" s="25" t="s">
        <v>122</v>
      </c>
      <c r="E78" s="24">
        <v>2018</v>
      </c>
      <c r="F78" s="23" t="s">
        <v>111</v>
      </c>
      <c r="G78" s="44">
        <v>215</v>
      </c>
    </row>
    <row r="79" spans="1:7" ht="15.75" x14ac:dyDescent="0.25">
      <c r="A79" s="42">
        <v>78</v>
      </c>
      <c r="B79" s="20">
        <v>3</v>
      </c>
      <c r="C79" s="25" t="s">
        <v>121</v>
      </c>
      <c r="D79" s="25" t="s">
        <v>120</v>
      </c>
      <c r="E79" s="24">
        <v>2030</v>
      </c>
      <c r="F79" s="23" t="s">
        <v>111</v>
      </c>
      <c r="G79" s="44">
        <v>75</v>
      </c>
    </row>
    <row r="80" spans="1:7" ht="15.75" x14ac:dyDescent="0.25">
      <c r="A80" s="42">
        <v>79</v>
      </c>
      <c r="B80" s="20">
        <v>3</v>
      </c>
      <c r="C80" s="25" t="s">
        <v>119</v>
      </c>
      <c r="D80" s="25" t="s">
        <v>118</v>
      </c>
      <c r="E80" s="24">
        <v>2018</v>
      </c>
      <c r="F80" s="23" t="s">
        <v>111</v>
      </c>
      <c r="G80" s="44">
        <v>108</v>
      </c>
    </row>
    <row r="81" spans="1:7" ht="15.75" x14ac:dyDescent="0.25">
      <c r="A81" s="42">
        <v>80</v>
      </c>
      <c r="B81" s="20">
        <v>3</v>
      </c>
      <c r="C81" s="25" t="s">
        <v>117</v>
      </c>
      <c r="D81" s="25" t="s">
        <v>116</v>
      </c>
      <c r="E81" s="24">
        <v>2600</v>
      </c>
      <c r="F81" s="23" t="s">
        <v>115</v>
      </c>
      <c r="G81" s="44">
        <v>130</v>
      </c>
    </row>
    <row r="82" spans="1:7" ht="15.75" x14ac:dyDescent="0.25">
      <c r="A82" s="42">
        <v>81</v>
      </c>
      <c r="B82" s="20">
        <v>3</v>
      </c>
      <c r="C82" s="25" t="s">
        <v>71</v>
      </c>
      <c r="D82" s="25" t="s">
        <v>114</v>
      </c>
      <c r="E82" s="24">
        <v>2000</v>
      </c>
      <c r="F82" s="23" t="s">
        <v>111</v>
      </c>
      <c r="G82" s="44">
        <v>150</v>
      </c>
    </row>
    <row r="83" spans="1:7" ht="15.75" x14ac:dyDescent="0.25">
      <c r="A83" s="42">
        <v>82</v>
      </c>
      <c r="B83" s="20">
        <v>3</v>
      </c>
      <c r="C83" s="25" t="s">
        <v>113</v>
      </c>
      <c r="D83" s="25" t="s">
        <v>112</v>
      </c>
      <c r="E83" s="24">
        <v>2030</v>
      </c>
      <c r="F83" s="23" t="s">
        <v>111</v>
      </c>
      <c r="G83" s="44">
        <v>119</v>
      </c>
    </row>
    <row r="84" spans="1:7" ht="15.75" x14ac:dyDescent="0.25">
      <c r="A84" s="42">
        <v>83</v>
      </c>
      <c r="B84" s="20">
        <v>3</v>
      </c>
      <c r="C84" s="25" t="s">
        <v>110</v>
      </c>
      <c r="D84" s="25" t="s">
        <v>109</v>
      </c>
      <c r="E84" s="24">
        <v>9120</v>
      </c>
      <c r="F84" s="23" t="s">
        <v>108</v>
      </c>
      <c r="G84" s="44">
        <v>154</v>
      </c>
    </row>
    <row r="85" spans="1:7" ht="15.75" x14ac:dyDescent="0.25">
      <c r="A85" s="42">
        <v>84</v>
      </c>
      <c r="B85" s="20">
        <v>4</v>
      </c>
      <c r="C85" s="25" t="s">
        <v>107</v>
      </c>
      <c r="D85" s="25" t="s">
        <v>106</v>
      </c>
      <c r="E85" s="24">
        <v>8000</v>
      </c>
      <c r="F85" s="23" t="s">
        <v>67</v>
      </c>
      <c r="G85" s="44">
        <v>96</v>
      </c>
    </row>
    <row r="86" spans="1:7" ht="15.75" x14ac:dyDescent="0.25">
      <c r="A86" s="42">
        <v>85</v>
      </c>
      <c r="B86" s="20">
        <v>4</v>
      </c>
      <c r="C86" s="25" t="s">
        <v>105</v>
      </c>
      <c r="D86" s="25" t="s">
        <v>104</v>
      </c>
      <c r="E86" s="24">
        <v>8000</v>
      </c>
      <c r="F86" s="23" t="s">
        <v>67</v>
      </c>
      <c r="G86" s="44">
        <v>88</v>
      </c>
    </row>
    <row r="87" spans="1:7" ht="15.75" x14ac:dyDescent="0.25">
      <c r="A87" s="42">
        <v>86</v>
      </c>
      <c r="B87" s="20">
        <v>4</v>
      </c>
      <c r="C87" s="25" t="s">
        <v>103</v>
      </c>
      <c r="D87" s="25" t="s">
        <v>102</v>
      </c>
      <c r="E87" s="24">
        <v>8000</v>
      </c>
      <c r="F87" s="23" t="s">
        <v>67</v>
      </c>
      <c r="G87" s="44">
        <v>86</v>
      </c>
    </row>
    <row r="88" spans="1:7" ht="15.75" x14ac:dyDescent="0.25">
      <c r="A88" s="42">
        <v>87</v>
      </c>
      <c r="B88" s="20">
        <v>4</v>
      </c>
      <c r="C88" s="25" t="s">
        <v>101</v>
      </c>
      <c r="D88" s="25" t="s">
        <v>100</v>
      </c>
      <c r="E88" s="24">
        <v>8000</v>
      </c>
      <c r="F88" s="23" t="s">
        <v>67</v>
      </c>
      <c r="G88" s="44">
        <v>155</v>
      </c>
    </row>
    <row r="89" spans="1:7" ht="15.75" x14ac:dyDescent="0.25">
      <c r="A89" s="42">
        <v>88</v>
      </c>
      <c r="B89" s="20">
        <v>4</v>
      </c>
      <c r="C89" s="25" t="s">
        <v>99</v>
      </c>
      <c r="D89" s="25" t="s">
        <v>98</v>
      </c>
      <c r="E89" s="24">
        <v>3600</v>
      </c>
      <c r="F89" s="23" t="s">
        <v>97</v>
      </c>
      <c r="G89" s="44">
        <v>83</v>
      </c>
    </row>
    <row r="90" spans="1:7" ht="15.75" x14ac:dyDescent="0.25">
      <c r="A90" s="42">
        <v>89</v>
      </c>
      <c r="B90" s="20">
        <v>4</v>
      </c>
      <c r="C90" s="25" t="s">
        <v>96</v>
      </c>
      <c r="D90" s="25" t="s">
        <v>95</v>
      </c>
      <c r="E90" s="24">
        <v>9000</v>
      </c>
      <c r="F90" s="23" t="s">
        <v>57</v>
      </c>
      <c r="G90" s="44">
        <v>140</v>
      </c>
    </row>
    <row r="91" spans="1:7" ht="15.75" x14ac:dyDescent="0.25">
      <c r="A91" s="42">
        <v>90</v>
      </c>
      <c r="B91" s="20">
        <v>4</v>
      </c>
      <c r="C91" s="25" t="s">
        <v>94</v>
      </c>
      <c r="D91" s="25" t="s">
        <v>93</v>
      </c>
      <c r="E91" s="24">
        <v>9051</v>
      </c>
      <c r="F91" s="23" t="s">
        <v>92</v>
      </c>
      <c r="G91" s="44">
        <v>134</v>
      </c>
    </row>
    <row r="92" spans="1:7" ht="15.75" x14ac:dyDescent="0.25">
      <c r="A92" s="42">
        <v>91</v>
      </c>
      <c r="B92" s="20">
        <v>4</v>
      </c>
      <c r="C92" s="25" t="s">
        <v>91</v>
      </c>
      <c r="D92" s="25" t="s">
        <v>90</v>
      </c>
      <c r="E92" s="24">
        <v>9000</v>
      </c>
      <c r="F92" s="23" t="s">
        <v>57</v>
      </c>
      <c r="G92" s="44">
        <v>127</v>
      </c>
    </row>
    <row r="93" spans="1:7" ht="15.75" x14ac:dyDescent="0.25">
      <c r="A93" s="42">
        <v>92</v>
      </c>
      <c r="B93" s="20">
        <v>4</v>
      </c>
      <c r="C93" s="25" t="s">
        <v>89</v>
      </c>
      <c r="D93" s="25" t="s">
        <v>88</v>
      </c>
      <c r="E93" s="24">
        <v>3500</v>
      </c>
      <c r="F93" s="23" t="s">
        <v>87</v>
      </c>
      <c r="G93" s="44">
        <v>107</v>
      </c>
    </row>
    <row r="94" spans="1:7" ht="15.75" x14ac:dyDescent="0.25">
      <c r="A94" s="42">
        <v>93</v>
      </c>
      <c r="B94" s="20">
        <v>4</v>
      </c>
      <c r="C94" s="25" t="s">
        <v>86</v>
      </c>
      <c r="D94" s="25" t="s">
        <v>85</v>
      </c>
      <c r="E94" s="24">
        <v>8300</v>
      </c>
      <c r="F94" s="23" t="s">
        <v>84</v>
      </c>
      <c r="G94" s="44">
        <v>112</v>
      </c>
    </row>
    <row r="95" spans="1:7" ht="15.75" x14ac:dyDescent="0.25">
      <c r="A95" s="42">
        <v>94</v>
      </c>
      <c r="B95" s="20">
        <v>4</v>
      </c>
      <c r="C95" s="25" t="s">
        <v>83</v>
      </c>
      <c r="D95" s="25" t="s">
        <v>82</v>
      </c>
      <c r="E95" s="24">
        <v>3000</v>
      </c>
      <c r="F95" s="23" t="s">
        <v>81</v>
      </c>
      <c r="G95" s="44">
        <v>100</v>
      </c>
    </row>
    <row r="96" spans="1:7" ht="15.75" x14ac:dyDescent="0.25">
      <c r="A96" s="42">
        <v>95</v>
      </c>
      <c r="B96" s="20">
        <v>4</v>
      </c>
      <c r="C96" s="25" t="s">
        <v>80</v>
      </c>
      <c r="D96" s="25" t="s">
        <v>79</v>
      </c>
      <c r="E96" s="24">
        <v>8400</v>
      </c>
      <c r="F96" s="23" t="s">
        <v>52</v>
      </c>
      <c r="G96" s="44">
        <v>92</v>
      </c>
    </row>
    <row r="97" spans="1:7" ht="15.75" x14ac:dyDescent="0.25">
      <c r="A97" s="42">
        <v>96</v>
      </c>
      <c r="B97" s="20">
        <v>4</v>
      </c>
      <c r="C97" s="25" t="s">
        <v>78</v>
      </c>
      <c r="D97" s="25" t="s">
        <v>77</v>
      </c>
      <c r="E97" s="24">
        <v>8400</v>
      </c>
      <c r="F97" s="23" t="s">
        <v>52</v>
      </c>
      <c r="G97" s="44">
        <v>128</v>
      </c>
    </row>
    <row r="98" spans="1:7" ht="15.75" x14ac:dyDescent="0.25">
      <c r="A98" s="42">
        <v>97</v>
      </c>
      <c r="B98" s="20">
        <v>3</v>
      </c>
      <c r="C98" s="25" t="s">
        <v>76</v>
      </c>
      <c r="D98" s="25" t="s">
        <v>75</v>
      </c>
      <c r="E98" s="24">
        <v>8370</v>
      </c>
      <c r="F98" s="23" t="s">
        <v>74</v>
      </c>
      <c r="G98" s="44">
        <v>75</v>
      </c>
    </row>
    <row r="99" spans="1:7" ht="15.75" x14ac:dyDescent="0.25">
      <c r="A99" s="42">
        <v>98</v>
      </c>
      <c r="B99" s="20">
        <v>3</v>
      </c>
      <c r="C99" s="25" t="s">
        <v>73</v>
      </c>
      <c r="D99" s="25" t="s">
        <v>72</v>
      </c>
      <c r="E99" s="24">
        <v>8000</v>
      </c>
      <c r="F99" s="23" t="s">
        <v>67</v>
      </c>
      <c r="G99" s="44">
        <v>138</v>
      </c>
    </row>
    <row r="100" spans="1:7" ht="15.75" x14ac:dyDescent="0.25">
      <c r="A100" s="42">
        <v>99</v>
      </c>
      <c r="B100" s="20">
        <v>3</v>
      </c>
      <c r="C100" s="25" t="s">
        <v>71</v>
      </c>
      <c r="D100" s="25" t="s">
        <v>70</v>
      </c>
      <c r="E100" s="24">
        <v>8000</v>
      </c>
      <c r="F100" s="23" t="s">
        <v>67</v>
      </c>
      <c r="G100" s="44">
        <v>128</v>
      </c>
    </row>
    <row r="101" spans="1:7" ht="15.75" x14ac:dyDescent="0.25">
      <c r="A101" s="42">
        <v>100</v>
      </c>
      <c r="B101" s="20">
        <v>3</v>
      </c>
      <c r="C101" s="25" t="s">
        <v>69</v>
      </c>
      <c r="D101" s="25" t="s">
        <v>68</v>
      </c>
      <c r="E101" s="24">
        <v>8001</v>
      </c>
      <c r="F101" s="23" t="s">
        <v>67</v>
      </c>
      <c r="G101" s="44">
        <v>126</v>
      </c>
    </row>
    <row r="102" spans="1:7" ht="15.75" x14ac:dyDescent="0.25">
      <c r="A102" s="42">
        <v>101</v>
      </c>
      <c r="B102" s="20">
        <v>3</v>
      </c>
      <c r="C102" s="25" t="s">
        <v>66</v>
      </c>
      <c r="D102" s="25" t="s">
        <v>65</v>
      </c>
      <c r="E102" s="24">
        <v>8200</v>
      </c>
      <c r="F102" s="23" t="s">
        <v>64</v>
      </c>
      <c r="G102" s="44">
        <v>101</v>
      </c>
    </row>
    <row r="103" spans="1:7" ht="15.75" x14ac:dyDescent="0.25">
      <c r="A103" s="42">
        <v>102</v>
      </c>
      <c r="B103" s="20">
        <v>3</v>
      </c>
      <c r="C103" s="25" t="s">
        <v>63</v>
      </c>
      <c r="D103" s="25" t="s">
        <v>62</v>
      </c>
      <c r="E103" s="24">
        <v>9000</v>
      </c>
      <c r="F103" s="23" t="s">
        <v>57</v>
      </c>
      <c r="G103" s="44">
        <v>120</v>
      </c>
    </row>
    <row r="104" spans="1:7" ht="15.75" x14ac:dyDescent="0.25">
      <c r="A104" s="42">
        <v>103</v>
      </c>
      <c r="B104" s="20">
        <v>3</v>
      </c>
      <c r="C104" s="25" t="s">
        <v>61</v>
      </c>
      <c r="D104" s="25" t="s">
        <v>60</v>
      </c>
      <c r="E104" s="24">
        <v>9000</v>
      </c>
      <c r="F104" s="23" t="s">
        <v>57</v>
      </c>
      <c r="G104" s="44">
        <v>134</v>
      </c>
    </row>
    <row r="105" spans="1:7" ht="15.75" x14ac:dyDescent="0.25">
      <c r="A105" s="42">
        <v>104</v>
      </c>
      <c r="B105" s="20">
        <v>3</v>
      </c>
      <c r="C105" s="25" t="s">
        <v>59</v>
      </c>
      <c r="D105" s="25" t="s">
        <v>58</v>
      </c>
      <c r="E105" s="24">
        <v>9000</v>
      </c>
      <c r="F105" s="23" t="s">
        <v>57</v>
      </c>
      <c r="G105" s="44">
        <v>117</v>
      </c>
    </row>
    <row r="106" spans="1:7" ht="15.75" x14ac:dyDescent="0.25">
      <c r="A106" s="42">
        <v>105</v>
      </c>
      <c r="B106" s="20">
        <v>3</v>
      </c>
      <c r="C106" s="25" t="s">
        <v>56</v>
      </c>
      <c r="D106" s="25" t="s">
        <v>55</v>
      </c>
      <c r="E106" s="24">
        <v>8400</v>
      </c>
      <c r="F106" s="23" t="s">
        <v>52</v>
      </c>
      <c r="G106" s="44">
        <v>160</v>
      </c>
    </row>
    <row r="107" spans="1:7" ht="15.75" x14ac:dyDescent="0.25">
      <c r="A107" s="42">
        <v>106</v>
      </c>
      <c r="B107" s="20">
        <v>3</v>
      </c>
      <c r="C107" s="25" t="s">
        <v>54</v>
      </c>
      <c r="D107" s="25" t="s">
        <v>53</v>
      </c>
      <c r="E107" s="24">
        <v>8400</v>
      </c>
      <c r="F107" s="23" t="s">
        <v>52</v>
      </c>
      <c r="G107" s="44">
        <v>99</v>
      </c>
    </row>
    <row r="108" spans="1:7" ht="15.75" x14ac:dyDescent="0.25">
      <c r="A108" s="42">
        <v>107</v>
      </c>
      <c r="B108" s="20">
        <v>5</v>
      </c>
      <c r="C108" s="25" t="s">
        <v>51</v>
      </c>
      <c r="D108" s="25" t="s">
        <v>50</v>
      </c>
      <c r="E108" s="24">
        <v>1013</v>
      </c>
      <c r="F108" s="23" t="s">
        <v>32</v>
      </c>
      <c r="G108" s="44">
        <v>337</v>
      </c>
    </row>
    <row r="109" spans="1:7" ht="15.75" x14ac:dyDescent="0.25">
      <c r="A109" s="42">
        <v>108</v>
      </c>
      <c r="B109" s="20">
        <v>5</v>
      </c>
      <c r="C109" s="25" t="s">
        <v>49</v>
      </c>
      <c r="D109" s="25" t="s">
        <v>48</v>
      </c>
      <c r="E109" s="24">
        <v>2449</v>
      </c>
      <c r="F109" s="23" t="s">
        <v>32</v>
      </c>
      <c r="G109" s="44">
        <v>210</v>
      </c>
    </row>
    <row r="110" spans="1:7" ht="15.75" x14ac:dyDescent="0.25">
      <c r="A110" s="42">
        <v>109</v>
      </c>
      <c r="B110" s="20">
        <v>5</v>
      </c>
      <c r="C110" s="25" t="s">
        <v>47</v>
      </c>
      <c r="D110" s="25" t="s">
        <v>46</v>
      </c>
      <c r="E110" s="24">
        <v>2015</v>
      </c>
      <c r="F110" s="23" t="s">
        <v>32</v>
      </c>
      <c r="G110" s="44">
        <v>104</v>
      </c>
    </row>
    <row r="111" spans="1:7" ht="15.75" x14ac:dyDescent="0.25">
      <c r="A111" s="42">
        <v>110</v>
      </c>
      <c r="B111" s="20">
        <v>4</v>
      </c>
      <c r="C111" s="25" t="s">
        <v>45</v>
      </c>
      <c r="D111" s="25" t="s">
        <v>44</v>
      </c>
      <c r="E111" s="24">
        <v>1453</v>
      </c>
      <c r="F111" s="23" t="s">
        <v>32</v>
      </c>
      <c r="G111" s="44">
        <v>271</v>
      </c>
    </row>
    <row r="112" spans="1:7" ht="15.75" x14ac:dyDescent="0.25">
      <c r="A112" s="42">
        <v>111</v>
      </c>
      <c r="B112" s="20">
        <v>4</v>
      </c>
      <c r="C112" s="25" t="s">
        <v>43</v>
      </c>
      <c r="D112" s="25" t="s">
        <v>42</v>
      </c>
      <c r="E112" s="24">
        <v>1015</v>
      </c>
      <c r="F112" s="23" t="s">
        <v>32</v>
      </c>
      <c r="G112" s="44">
        <v>158</v>
      </c>
    </row>
    <row r="113" spans="1:7" ht="15.75" x14ac:dyDescent="0.25">
      <c r="A113" s="42">
        <v>112</v>
      </c>
      <c r="B113" s="20">
        <v>4</v>
      </c>
      <c r="C113" s="25" t="s">
        <v>41</v>
      </c>
      <c r="D113" s="25" t="s">
        <v>40</v>
      </c>
      <c r="E113" s="24">
        <v>2015</v>
      </c>
      <c r="F113" s="23" t="s">
        <v>32</v>
      </c>
      <c r="G113" s="44">
        <v>260</v>
      </c>
    </row>
    <row r="114" spans="1:7" ht="15.75" x14ac:dyDescent="0.25">
      <c r="A114" s="42">
        <v>113</v>
      </c>
      <c r="B114" s="20">
        <v>4</v>
      </c>
      <c r="C114" s="25" t="s">
        <v>39</v>
      </c>
      <c r="D114" s="25" t="s">
        <v>35</v>
      </c>
      <c r="E114" s="24">
        <v>1019</v>
      </c>
      <c r="F114" s="23" t="s">
        <v>32</v>
      </c>
      <c r="G114" s="44">
        <v>148</v>
      </c>
    </row>
    <row r="115" spans="1:7" ht="15.75" x14ac:dyDescent="0.25">
      <c r="A115" s="42">
        <v>114</v>
      </c>
      <c r="B115" s="20">
        <v>3</v>
      </c>
      <c r="C115" s="25" t="s">
        <v>38</v>
      </c>
      <c r="D115" s="25" t="s">
        <v>37</v>
      </c>
      <c r="E115" s="24">
        <v>2633</v>
      </c>
      <c r="F115" s="23" t="s">
        <v>32</v>
      </c>
      <c r="G115" s="44">
        <v>108</v>
      </c>
    </row>
    <row r="116" spans="1:7" ht="15.75" x14ac:dyDescent="0.25">
      <c r="A116" s="42">
        <v>115</v>
      </c>
      <c r="B116" s="20">
        <v>3</v>
      </c>
      <c r="C116" s="25" t="s">
        <v>36</v>
      </c>
      <c r="D116" s="25" t="s">
        <v>35</v>
      </c>
      <c r="E116" s="24">
        <v>1022</v>
      </c>
      <c r="F116" s="23" t="s">
        <v>32</v>
      </c>
      <c r="G116" s="44">
        <v>120</v>
      </c>
    </row>
    <row r="117" spans="1:7" ht="15.75" x14ac:dyDescent="0.25">
      <c r="A117" s="42">
        <v>116</v>
      </c>
      <c r="B117" s="20">
        <v>3</v>
      </c>
      <c r="C117" s="19" t="s">
        <v>34</v>
      </c>
      <c r="D117" s="19" t="s">
        <v>33</v>
      </c>
      <c r="E117" s="18">
        <v>1020</v>
      </c>
      <c r="F117" s="17" t="s">
        <v>32</v>
      </c>
      <c r="G117" s="46">
        <v>152</v>
      </c>
    </row>
  </sheetData>
  <conditionalFormatting sqref="G1:G104857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{839EB5BD-27DB-4070-A9FB-0B2D33E4D3FC}</x14:id>
        </ext>
      </extLst>
    </cfRule>
  </conditionalFormatting>
  <conditionalFormatting sqref="F1:F1048576">
    <cfRule type="containsText" dxfId="1" priority="2" operator="containsText" text="Bruxelles">
      <formula>NOT(ISERROR(SEARCH("Bruxelles",F1)))</formula>
    </cfRule>
  </conditionalFormatting>
  <conditionalFormatting sqref="A1:A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dataValidations count="1">
    <dataValidation type="list" allowBlank="1" showInputMessage="1" showErrorMessage="1" sqref="G2:G8">
      <formula1>Commerciaux_2024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9EB5BD-27DB-4070-A9FB-0B2D33E4D3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iconSet" priority="3" id="{35DB7681-5A5D-4B7A-B68B-6705AD57B8A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Références</vt:lpstr>
      <vt:lpstr>SI ET</vt:lpstr>
      <vt:lpstr>Produits</vt:lpstr>
      <vt:lpstr>Prix</vt:lpstr>
      <vt:lpstr>Tri et Filtres</vt:lpstr>
      <vt:lpstr>Validation des données</vt:lpstr>
      <vt:lpstr>TCD</vt:lpstr>
      <vt:lpstr>Mise en forme condi</vt:lpstr>
      <vt:lpstr>Commerciaux_2024</vt:lpstr>
      <vt:lpstr>Commerciaux_2025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2024-12-23T12:57:02Z</dcterms:modified>
</cp:coreProperties>
</file>