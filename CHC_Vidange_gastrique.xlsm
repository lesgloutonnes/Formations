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chbus\Downloads\"/>
    </mc:Choice>
  </mc:AlternateContent>
  <xr:revisionPtr revIDLastSave="0" documentId="13_ncr:1_{8BB92629-8B62-4CB4-A05F-F12EB3B67323}" xr6:coauthVersionLast="47" xr6:coauthVersionMax="47" xr10:uidLastSave="{00000000-0000-0000-0000-000000000000}"/>
  <bookViews>
    <workbookView xWindow="2868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externalReferences>
    <externalReference r:id="rId12"/>
  </externalReference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[1]AMP13C!$B$3</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9" i="7"/>
  <c r="B10" i="7"/>
  <c r="B8" i="7"/>
  <c r="B5"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3" i="27" s="1"/>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<sst xmlns="http://schemas.openxmlformats.org/spreadsheetml/2006/main" count="731" uniqueCount="258">
  <si>
    <t>model B</t>
  </si>
  <si>
    <t>model W</t>
  </si>
  <si>
    <t>t1/2</t>
  </si>
  <si>
    <t>mec</t>
  </si>
  <si>
    <t>tlag</t>
  </si>
  <si>
    <t>Beste model</t>
  </si>
  <si>
    <t>tijd (min)</t>
  </si>
  <si>
    <t>% Dosis/u</t>
  </si>
  <si>
    <t>Cumul. % dosis</t>
  </si>
  <si>
    <t xml:space="preserve">modelB pdr </t>
  </si>
  <si>
    <t>kwad versch</t>
  </si>
  <si>
    <t>modelB cpdr</t>
  </si>
  <si>
    <t>modelW pdr</t>
  </si>
  <si>
    <t>model W cpdr</t>
  </si>
  <si>
    <t>PDR</t>
  </si>
  <si>
    <t>CPDR</t>
  </si>
  <si>
    <t>N</t>
  </si>
  <si>
    <t>Totaal</t>
  </si>
  <si>
    <t>Isotopenademtest voor maaglediging van vast voedsel</t>
  </si>
  <si>
    <t>Parameters :</t>
  </si>
  <si>
    <t>normaal</t>
  </si>
  <si>
    <t>vertraagd</t>
  </si>
  <si>
    <t>sterk vertraagd</t>
  </si>
  <si>
    <t>patiënt</t>
  </si>
  <si>
    <t>MEC</t>
  </si>
  <si>
    <t>&gt; 120</t>
  </si>
  <si>
    <t>( MEC : MaagEvacuatieCoëfficiënt)</t>
  </si>
  <si>
    <t>Uittellen van 13C-octaanzuurademtest voor maagledigen van vast voedsel.</t>
  </si>
  <si>
    <t>Molaire massa (g)</t>
  </si>
  <si>
    <t>aantal gemerkte C</t>
  </si>
  <si>
    <t>substraat AP</t>
  </si>
  <si>
    <t>Dosis (mg/kg)</t>
  </si>
  <si>
    <t>R(PDB)=</t>
  </si>
  <si>
    <t>CO2 prod (mmol/kg u)</t>
  </si>
  <si>
    <t>BSA (m2)</t>
  </si>
  <si>
    <t>Dosis (mg)</t>
  </si>
  <si>
    <t>delta13</t>
  </si>
  <si>
    <t>AP</t>
  </si>
  <si>
    <t>APE</t>
  </si>
  <si>
    <t>Lengte(cm):</t>
  </si>
  <si>
    <t>Lengte (cm)</t>
  </si>
  <si>
    <t>Gewicht (kg)</t>
  </si>
  <si>
    <t>CO2-productie (mmol/kg.u)</t>
  </si>
  <si>
    <t>Substraat</t>
  </si>
  <si>
    <t>Molaire massa</t>
  </si>
  <si>
    <t>Aantal gemerkte C</t>
  </si>
  <si>
    <t>Substraat AP</t>
  </si>
  <si>
    <r>
      <t>t</t>
    </r>
    <r>
      <rPr>
        <b/>
        <vertAlign val="subscript"/>
        <sz val="10"/>
        <color indexed="8"/>
        <rFont val="Arial"/>
        <family val="2"/>
      </rPr>
      <t>1/2</t>
    </r>
    <r>
      <rPr>
        <b/>
        <sz val="10"/>
        <color indexed="8"/>
        <rFont val="Arial"/>
        <family val="2"/>
      </rPr>
      <t xml:space="preserve"> (min)</t>
    </r>
  </si>
  <si>
    <t>Gewicht(kg):</t>
  </si>
  <si>
    <t>Beoordeling:</t>
  </si>
  <si>
    <t>Kies datum uitvoering (jjmmdd)</t>
  </si>
  <si>
    <t>Naam</t>
  </si>
  <si>
    <t>Staalnummer 0</t>
  </si>
  <si>
    <t>Te gebruiken t1/2 :</t>
  </si>
  <si>
    <t>Eadnr</t>
  </si>
  <si>
    <t>Substraat gegevens</t>
  </si>
  <si>
    <t>Instructies</t>
  </si>
  <si>
    <t>Map data  VAN LIS:</t>
  </si>
  <si>
    <t>\\uz\data\Admin\laboapps\Gastro_Entero\VanLIS\</t>
  </si>
  <si>
    <t>Bestandsnaam data  VAN LIS:</t>
  </si>
  <si>
    <t>Map data  NAAR LIS:</t>
  </si>
  <si>
    <t>\\uz\data\Admin\laboapps\Gastro_Entero\NaarLIS\</t>
  </si>
  <si>
    <t>Bestandsnaam data  NAAR LIS:</t>
  </si>
  <si>
    <t>EADnr.+Crit</t>
  </si>
  <si>
    <t>Patient</t>
  </si>
  <si>
    <t>H2</t>
  </si>
  <si>
    <t>Delta13</t>
  </si>
  <si>
    <t>Dpm</t>
  </si>
  <si>
    <t>Lengte</t>
  </si>
  <si>
    <t>Gewicht</t>
  </si>
  <si>
    <t>Klacht</t>
  </si>
  <si>
    <t>Lotnummer</t>
  </si>
  <si>
    <t>Criterium</t>
  </si>
  <si>
    <t>Geen.</t>
  </si>
  <si>
    <t>dosis</t>
  </si>
  <si>
    <t>co2pr</t>
  </si>
  <si>
    <t>subst</t>
  </si>
  <si>
    <t>export</t>
  </si>
  <si>
    <t>besluit</t>
  </si>
  <si>
    <t>opm</t>
  </si>
  <si>
    <t>mecva</t>
  </si>
  <si>
    <t>t1/2va</t>
  </si>
  <si>
    <t>Opmerking:</t>
  </si>
  <si>
    <t>mm</t>
  </si>
  <si>
    <t>gemerkt</t>
  </si>
  <si>
    <t>subsap</t>
  </si>
  <si>
    <t>13c</t>
  </si>
  <si>
    <t>cum13c</t>
  </si>
  <si>
    <t>13C-Octaanzuur (LGE)</t>
  </si>
  <si>
    <t>Backup naam data:</t>
  </si>
  <si>
    <t>Backup map:</t>
  </si>
  <si>
    <t>Geboortedatum</t>
  </si>
  <si>
    <t>Geslacht</t>
  </si>
  <si>
    <t>Geboorte (jjjjmmdd) (Geslacht)</t>
  </si>
  <si>
    <t>Leeftijd in jaren</t>
  </si>
  <si>
    <t>Staal 0</t>
  </si>
  <si>
    <t>Staal 00</t>
  </si>
  <si>
    <t>GEMIDDELDE</t>
  </si>
  <si>
    <t>Code:</t>
  </si>
  <si>
    <t>CO2-prod uit tabel</t>
  </si>
  <si>
    <t>1  = PREMATUREN</t>
  </si>
  <si>
    <t>KEUZE</t>
  </si>
  <si>
    <t>3 = VOLWASSENEN</t>
  </si>
  <si>
    <t>ENKEL INVULLEN VOOR KINDEREN (code=2):</t>
  </si>
  <si>
    <t>VoorzienAfnameTijdstip</t>
  </si>
  <si>
    <t>voorzienAfnameTijdstip</t>
  </si>
  <si>
    <t xml:space="preserve">      Normale maaglediging</t>
  </si>
  <si>
    <t xml:space="preserve">      Vertraagde maaglediging</t>
  </si>
  <si>
    <t xml:space="preserve">      Sterk vertraagde maaglediging</t>
  </si>
  <si>
    <t>Datum</t>
  </si>
  <si>
    <t>Opsteller</t>
  </si>
  <si>
    <t>Wijziging</t>
  </si>
  <si>
    <t>Els Houben</t>
  </si>
  <si>
    <t xml:space="preserve">Eerste uitgave </t>
  </si>
  <si>
    <t>'export' en 'clear form' in 1 macro gezet</t>
  </si>
  <si>
    <t xml:space="preserve"> </t>
  </si>
  <si>
    <t>jongens</t>
  </si>
  <si>
    <t>meisjes</t>
  </si>
  <si>
    <t>gewicht</t>
  </si>
  <si>
    <t>CO2</t>
  </si>
  <si>
    <t>kg</t>
  </si>
  <si>
    <t>mmol/h</t>
  </si>
  <si>
    <t>mmol/kg.h</t>
  </si>
  <si>
    <t>1 week - 10 maanden</t>
  </si>
  <si>
    <t>10 maanden - 3 jr 2 mnd</t>
  </si>
  <si>
    <t>3-16 jaar</t>
  </si>
  <si>
    <t>2 = KINDEREN TOT 16 JAAR EN MAX 80KG</t>
  </si>
  <si>
    <t>Normaalwaarden t1/2 maaglediging kinderen</t>
  </si>
  <si>
    <t>Jongens</t>
  </si>
  <si>
    <t>Meisjes</t>
  </si>
  <si>
    <t>Vaste fase</t>
  </si>
  <si>
    <t>vloeibare fase</t>
  </si>
  <si>
    <t>Vloeibare fase</t>
  </si>
  <si>
    <t>leeftijd</t>
  </si>
  <si>
    <t>P75 (vertraagd)</t>
  </si>
  <si>
    <t>P95 (sterk vertraagd)</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</si>
  <si>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</si>
  <si>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</si>
  <si>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</si>
  <si>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</si>
  <si>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</si>
  <si>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Lotcodes</t>
  </si>
  <si>
    <t>Lotnummer:</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</si>
  <si>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</si>
  <si>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</si>
  <si>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</si>
  <si>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</si>
  <si>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</si>
  <si>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</si>
  <si>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</si>
  <si>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</si>
  <si>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</si>
  <si>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</si>
  <si>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</si>
  <si>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cijfers: gastropan; letters ei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</si>
  <si>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</si>
  <si>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</si>
  <si>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</si>
  <si>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LABORATORIUMGENEESKUNDE</t>
  </si>
  <si>
    <t>Herestraat 49, 3000 Leuven</t>
  </si>
  <si>
    <t>erk.#: 8-24700-91-998</t>
  </si>
  <si>
    <t xml:space="preserve">Gedetailleerd rapport (grafiek) afgedrukt op </t>
  </si>
  <si>
    <t>p. 1/1</t>
  </si>
  <si>
    <t>Backup naam pdf</t>
  </si>
  <si>
    <t>Backup map: pdf</t>
  </si>
  <si>
    <t xml:space="preserve">staalnummer toegevoegd aan naam pdf + xlsm (back-up bestand patiënt URL-104)
tab LAKRAPKWS: aangepast kop- en voettekst (analoog aan LWS-rapport)Excel RAPVAST13CKWS(-kind) beveiligd bij saven Excel patiënt data
</t>
  </si>
  <si>
    <t>tel: 016 34 70 00 fax: 016 34 70 10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</si>
  <si>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</si>
  <si>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\\UZ\Data\Admin\laboapps\Gastro_Entero\BeeldenNaarLIS\</t>
  </si>
  <si>
    <t xml:space="preserve">pdf wordt correct gesaved in LWS-map (zie tabblad instructies) - \ toegevoegd na link
lot b toegevoegd in tab VAST13C
</t>
  </si>
  <si>
    <t>foutmelding indien voorzien afnametijdstip niet werd ingevuld (via macro export_13C)</t>
  </si>
  <si>
    <t>Lot 17K20 toegevoegd</t>
  </si>
  <si>
    <t>Besluit:</t>
  </si>
  <si>
    <t>Bijkomende opmerkingen:</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</si>
  <si>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</si>
  <si>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</si>
  <si>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</si>
  <si>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</si>
  <si>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</si>
  <si>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verschil tussen nuchtere delta's</t>
  </si>
  <si>
    <t>lengte opmerking</t>
  </si>
  <si>
    <t>c</t>
  </si>
  <si>
    <t>- Uniformisering rapport
- foutmelding indien nuchtere aanrijkingen &gt;1‰ afwijken
- keuzelijst voor bijkomende opmerkingen
- toevoeging lot 'c'</t>
  </si>
  <si>
    <t>Keuzelijst</t>
  </si>
  <si>
    <t>Randwaarde voor normale test</t>
  </si>
  <si>
    <t>De testmaaltijd bevatte enkel eigeel en glutenvrij brood (geen eiwit) waardoor de normaalwaarden in principe niet geldig zijn</t>
  </si>
  <si>
    <t>De test bevatte teveel stalen met onvoldoende CO2 voor betrouwbare analyse waardoor geen curve kon gefit worden</t>
  </si>
  <si>
    <t>Patient heeft slechts ... van de testmaaltijd opgegeten waardoor de normaalwaarden in principe niet geldig zijn</t>
  </si>
  <si>
    <t>[C-13]-octaanzuur</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</si>
  <si>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</si>
  <si>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</si>
  <si>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</si>
  <si>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</si>
  <si>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</si>
  <si>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</si>
  <si>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</si>
  <si>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</si>
  <si>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</si>
  <si>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</si>
  <si>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</si>
  <si>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</si>
  <si>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</si>
  <si>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nvt</t>
  </si>
  <si>
    <t>Fout in import door browser google chrome opgelost door VBA commando te veralgemenen</t>
  </si>
  <si>
    <t>Kleurcode aangepast voor kinderen (donkerblauw gewijzigd naar lichtblauw)</t>
  </si>
  <si>
    <t>StaalId_Datum</t>
  </si>
  <si>
    <t>Staal Id</t>
  </si>
  <si>
    <t>Aanpassingen doorheen het hele document naar aanleiding van afschaffen laadlijsten</t>
  </si>
  <si>
    <t>e</t>
  </si>
  <si>
    <t>Lot E toegevoegd
Celverwijziging "data naar LIS" via macro ingevuld</t>
  </si>
  <si>
    <t>d</t>
  </si>
  <si>
    <t>Vanwege leeftijd (normaalwaarden kind - volwassenen) grenswaarde xx - xx</t>
  </si>
  <si>
    <t>Keuzelijst standaardantwoordmogelijkheden uitgebreid</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</si>
  <si>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</si>
  <si>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</si>
  <si>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</si>
  <si>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</si>
  <si>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</si>
  <si>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</si>
  <si>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</si>
  <si>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</si>
  <si>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</si>
  <si>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</si>
  <si>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</si>
  <si>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</si>
  <si>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</si>
  <si>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</si>
  <si>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</si>
  <si>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</si>
  <si>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</si>
  <si>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</si>
  <si>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</si>
  <si>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</si>
  <si>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</si>
  <si>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</si>
  <si>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</si>
  <si>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</si>
  <si>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</si>
  <si>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</si>
  <si>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</si>
  <si>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</si>
  <si>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</si>
  <si>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</si>
  <si>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</si>
  <si>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</si>
  <si>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\\uz\data\LaboratoriumGeneeskunde\URL\PT3\URL_104_Backup_Ruwe_Data_Gastro_Enterologie\</t>
  </si>
  <si>
    <t>Gertjan Gysembergt
Els Houben</t>
  </si>
  <si>
    <t>16-1-2024
21-1-2024</t>
  </si>
  <si>
    <t>Lot F toegevoegd
Link URL PT6 gewijzigd naar PT3</t>
  </si>
  <si>
    <t>Datum voorschrift</t>
  </si>
  <si>
    <t>Naam "datum analyse" gewijzigd in "datum voorschrift" op rapport</t>
  </si>
  <si>
    <t>SOP-020 PRG-6 versie 251014</t>
  </si>
  <si>
    <t>g1</t>
  </si>
  <si>
    <t>B002476</t>
  </si>
  <si>
    <t>g2</t>
  </si>
  <si>
    <t>ja</t>
  </si>
  <si>
    <t>Loten G1 en G2 toegevoegd cf. DIAGA-14372</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</si>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</sst>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dosis/u</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dosis</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dosis/u</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dosis</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modellen</a:t>
              </a:r>
            </a:p>
            <a:p>
              <a:pPr algn="ctr" rtl="0">
                <a:defRPr sz="1000"/>
              </a:pPr>
              <a:r>
                <a:rPr lang="fr-BE" sz="1200" b="1" i="0" u="none" strike="noStrike" baseline="0">
                  <a:solidFill>
                    <a:srgbClr val="000000"/>
                  </a:solidFill>
                  <a:latin typeface="MS Sans Serif"/>
                </a:rPr>
                <a:t>toepassen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28575</xdr:rowOff>
        </xdr:from>
        <xdr:to>
          <xdr:col>3</xdr:col>
          <xdr:colOff>219075</xdr:colOff>
          <xdr:row>3</xdr:row>
          <xdr:rowOff>180975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Export &amp;</a:t>
              </a:r>
            </a:p>
            <a:p>
              <a:pPr algn="ctr" rtl="0">
                <a:defRPr sz="1000"/>
              </a:pPr>
              <a:r>
                <a:rPr lang="fr-BE"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561975</xdr:colOff>
          <xdr:row>2</xdr:row>
          <xdr:rowOff>104775</xdr:rowOff>
        </xdr:from>
        <xdr:to>
          <xdr:col>13</xdr:col>
          <xdr:colOff>200025</xdr:colOff>
          <xdr:row>6</xdr:row>
          <xdr:rowOff>9525</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Import indien "niet vandaag"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104775</xdr:rowOff>
        </xdr:from>
        <xdr:to>
          <xdr:col>3</xdr:col>
          <xdr:colOff>381000</xdr:colOff>
          <xdr:row>6</xdr:row>
          <xdr:rowOff>180975</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5</xdr:row>
          <xdr:rowOff>104775</xdr:rowOff>
        </xdr:from>
        <xdr:to>
          <xdr:col>2</xdr:col>
          <xdr:colOff>447675</xdr:colOff>
          <xdr:row>6</xdr:row>
          <xdr:rowOff>142875</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Export</a:t>
              </a:r>
            </a:p>
          </xdr:txBody>
        </xdr:sp>
        <xdr:clientData fPrint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0018368/AppData/Local/Microsoft/Windows/Temporary%20Internet%20Files/Content.Outlook/T6AQN4U9/READY%20FOR%20USE/Aminopyri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es"/>
      <sheetName val="AMP13C"/>
      <sheetName val="AMPRAPKWS"/>
      <sheetName val="Module1"/>
      <sheetName val="Data_van_LIS"/>
      <sheetName val="Data_naar_LIS"/>
      <sheetName val="Patiënten"/>
    </sheetNames>
    <sheetDataSet>
      <sheetData sheetId="0" refreshError="1"/>
      <sheetData sheetId="1">
        <row r="3">
          <cell r="B3">
            <v>111102</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uz\data\LaboratoriumGeneeskunde\URL\PT3\URL_104_Backup_Ruwe_Data_Gastro_Enterologie" TargetMode="External"/><Relationship Id="rId1" Type="http://schemas.openxmlformats.org/officeDocument/2006/relationships/hyperlink" Target="\UZ\Data\Admin\laboapps\Gastro_Entero\BeeldenNaarLIS"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UZ\Data\LaboratoriumGeneeskunde\URL\PT3\URL_126_Validatiedossier_ademtesten\13C-maagledigingen\1.%2013C-octaanzuur\1.4.%20validatie%20rekenblad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26"/>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"13C-Octaanzuur_"&amp;DatumVanLIS9&amp;".txt"</f>
        <v>13C-Octaanzuur_260923.txt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"Ademtest_13C-octaanzuur_"&amp;VAST13C!B4&amp;"_"&amp;DatumVanLIS9&amp;".txt"</f>
        <v>Ademtest_13C-octaanzuur__260923.txt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"Maaglediging13C_"&amp;VAST13C!B4&amp;"_"&amp;VAST13C!B5&amp;"_"&amp;DatumVanLIS9&amp;"_"&amp;VAST13C!B6&amp;".xls"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"Maaglediging13C_"&amp;VAST13C!B4&amp;"_"&amp;VAST13C!B5&amp;"_"&amp;DatumVanLIS9&amp;"_"&amp;VAST13C!B6&amp;".pdf"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sheetData>
  <hyperlinks>
    <hyperlink ref="B26" r:id="rId1" xr:uid="{00000000-0004-0000-0000-000001000000}"/>
    <hyperlink ref="B21" r:id="rId2" xr:uid="{83F740BB-50C2-497A-AE63-67F702250F5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W56"/>
  <sheetViews>
    <sheetView tabSelected="1" zoomScale="85" zoomScaleNormal="85" workbookViewId="0">
      <selection activeCell="A26" sqref="A26"/>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260923</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IFERROR(Data_Naar_LIS_13C!$L$3,"BESLUIT INVULLEN!")</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#VALUE!</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IF(M35&lt;P35,"B-model geeft beste fit", "W-model geeft beste fit")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f>VLOOKUP(B22,U3:W10,3,0)</f>
        <v>91</v>
      </c>
      <c r="T11" s="85"/>
    </row>
    <row r="12" spans="1:23" ht="15.75" customHeight="1" x14ac:dyDescent="0.2">
      <c r="A12" s="94" t="s">
        <v>94</v>
      </c>
      <c r="B12" s="220" t="str">
        <f>IF(ISERROR(YEARFRAC(DATE(LEFT(B8,4),MID(B8,5,2),MID(B8,7,2)),B14)),"",YEARFRAC(DATE(LEFT(B8,4),MID(B8,5,2),MID(B8,7,2)),B14))</f>
        <v/>
      </c>
      <c r="E12" s="95" t="s">
        <v>33</v>
      </c>
      <c r="F12" s="121" t="e">
        <f>IF($B$15="1",20,IF($B$15="2",$B$19/$B$10,IF($B$15="3",300*$F$13/$B$10,"FOUT")))</f>
        <v>#VALUE!</v>
      </c>
      <c r="I12" s="122"/>
      <c r="T12" s="85"/>
    </row>
    <row r="13" spans="1:23" ht="15.75" customHeight="1" thickBot="1" x14ac:dyDescent="0.25">
      <c r="A13" s="82" t="str">
        <f>IF(B12&lt;17,"Opgepast, patiënt is jonger dan 17 jaar, gebruik correct tabblad KWS!","")</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
        <v>257</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BESLUIT INVULLEN!">
      <formula>NOT(ISERROR(SEARCH("BESLUIT INVULLEN!",C6)))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&amp;LSOP-020 PRG-6&amp;Cversie 260722&amp;Rp. &amp;P/&amp;N</oddHeader>
    <oddFooter>&amp;LKwaliteitssysteem&amp;CLAG-UZ Leuven&amp;Rafgedrukt op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1" r:id="rId5" name="Button 13">
              <controlPr defaultSize="0" print="0" autoFill="0" autoPict="0" macro="[0]!Export13C">
                <anchor moveWithCells="1" sizeWithCells="1">
                  <from>
                    <xdr:col>2</xdr:col>
                    <xdr:colOff>47625</xdr:colOff>
                    <xdr:row>1</xdr:row>
                    <xdr:rowOff>28575</xdr:rowOff>
                  </from>
                  <to>
                    <xdr:col>3</xdr:col>
                    <xdr:colOff>219075</xdr:colOff>
                    <xdr:row>3</xdr:row>
                    <xdr:rowOff>180975</xdr:rowOff>
                  </to>
                </anchor>
              </controlPr>
            </control>
          </mc:Choice>
        </mc:AlternateContent>
        <mc:AlternateContent xmlns:mc="http://schemas.openxmlformats.org/markup-compatibility/2006">
          <mc:Choice Requires="x14">
            <control shapeId="7185" r:id="rId6" name="Button 17">
              <controlPr defaultSize="0" print="0" autoFill="0" autoPict="0" macro="[0]!Import13C">
                <anchor moveWithCells="1" sizeWithCells="1">
                  <from>
                    <xdr:col>11</xdr:col>
                    <xdr:colOff>561975</xdr:colOff>
                    <xdr:row>2</xdr:row>
                    <xdr:rowOff>104775</xdr:rowOff>
                  </from>
                  <to>
                    <xdr:col>13</xdr:col>
                    <xdr:colOff>200025</xdr:colOff>
                    <xdr:row>6</xdr:row>
                    <xdr:rowOff>9525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mc:AlternateContent xmlns:mc="http://schemas.openxmlformats.org/markup-compatibility/2006">
          <mc:Choice Requires="x14">
            <control shapeId="7192" r:id="rId10" name="Button 24">
              <controlPr defaultSize="0" print="0" autoFill="0" autoPict="0">
                <anchor moveWithCells="1" sizeWithCells="1">
                  <from>
                    <xdr:col>2</xdr:col>
                    <xdr:colOff>495300</xdr:colOff>
                    <xdr:row>5</xdr:row>
                    <xdr:rowOff>104775</xdr:rowOff>
                  </from>
                  <to>
                    <xdr:col>3</xdr:col>
                    <xdr:colOff>381000</xdr:colOff>
                    <xdr:row>6</xdr:row>
                    <xdr:rowOff>180975</xdr:rowOff>
                  </to>
                </anchor>
              </controlPr>
            </control>
          </mc:Choice>
        </mc:AlternateContent>
        <mc:AlternateContent xmlns:mc="http://schemas.openxmlformats.org/markup-compatibility/2006">
          <mc:Choice Requires="x14">
            <control shapeId="7193" r:id="rId11" name="Button 25">
              <controlPr defaultSize="0" print="0" autoFill="0" autoPict="0">
                <anchor moveWithCells="1" sizeWithCells="1">
                  <from>
                    <xdr:col>1</xdr:col>
                    <xdr:colOff>828675</xdr:colOff>
                    <xdr:row>5</xdr:row>
                    <xdr:rowOff>104775</xdr:rowOff>
                  </from>
                  <to>
                    <xdr:col>2</xdr:col>
                    <xdr:colOff>447675</xdr:colOff>
                    <xdr:row>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sheetProtection algorithmName="SHA-512" hashValue="gibx/IstW/1DTImu6+UfeBPC8txbiVCvW/lmDPEGI4Tw6OLIZxTNc3a1NbY6j89EGbEA5/Ir+owRTf5uN3JJRA==" saltValue="alI/UY/ztGemDy0c6Zs0hg==" spinCount="100000" sheet="1" objects="1" scenarios="1"/>
  <mergeCells count="1">
    <mergeCell ref="A1:P1"/>
  </mergeCells>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IF(VAST13C!A13&lt;&gt;"","Gebruik KWS-kind blad!","Wij voerden bij uw patiënt "&amp;VAST13C!B5&amp;" ("&amp;VAST13C!B4&amp;") volgende analyse uit:")</f>
        <v>Wij voerden bij uw patiënt  () volgende analyse uit:</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#VALUE!</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46288.607371527774</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sheetProtection algorithmName="SHA-512" hashValue="6cN7/IDeliVLNd64JLDy9Lo3PLFJ46HZzFVFWgICjvuu993/h7uw+1GGFQuLHWfR8hiQGhIlwrn+GIwhGTIUbg==" saltValue="ZDHA5BhLUO5PEUMFe9tTmw==" spinCount="100000" sheet="1" objects="1" scenarios="1"/>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"Wij voerden bij uw patiënt "&amp;VAST13C!B5&amp;" ("&amp;VAST13C!B4&amp;") volgende analyse uit:"</f>
        <v>Wij voerden bij uw patiënt  () volgende analyse uit:</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#VALUE!</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46288.607371527774</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sheetProtection algorithmName="SHA-512" hashValue="ysqru1gUV+h5FleI0wPJEG765Z+0OskXSj3Ve/+/Lei5RKLAmrSIX5AS/y+kpCWuRuET2VMqPL1EwJjtYZdqgg==" saltValue="DB2giowo5Dphbz6OC0yJYw==" spinCount="100000" sheet="1" objects="1" scenarios="1"/>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sheetProtection algorithmName="SHA-512" hashValue="PNe85zd8NyZvTRezlyKzEQBGG1zQ6KNzGJz+5XcvgT4A3YTmfu5WySt0ZkLXZKpqyuvuf9Ds97O8YFCDr7O5ag==" saltValue="ZufDJkaBvHmNCaBXVc0rhA==" spinCount="100000" sheet="1" objects="1" scenarios="1"/>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#VALUE!</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hyperlinks>
    <hyperlink ref="D1" r:id="rId1" xr:uid="{B1BB0E00-73FC-4836-B345-62C1E0423D34}"/>
  </hyperlinks>
  <pageMargins left="0.7" right="0.7" top="0.75" bottom="0.75" header="0.3" footer="0.3"/>
  <pageSetup paperSize="9" scale="89" orientation="portrait" r:id="rId2"/>
  <headerFooter>
    <oddHeader>&amp;LSOP-020 PRG-6&amp;Cversie 140320
&amp;Rp. &amp;P/&amp;N</oddHeader>
    <oddFooter>&amp;LKwaliteitssysteem&amp;CLAG-UZ Leuven&amp;Rafgedrukt op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U.Z. Leuven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els.houben@uzleuven.be</dc:creator>
  <cp:lastModifiedBy>BUSSERS, Charles</cp:lastModifiedBy>
  <cp:lastPrinted>2024-06-12T05:56:14Z</cp:lastPrinted>
  <dcterms:created xsi:type="dcterms:W3CDTF">2001-05-07T12:21:28Z</dcterms:created>
  <dcterms:modified xsi:type="dcterms:W3CDTF">2026-09-23T12:34:41Z</dcterms:modified>
</cp:coreProperties>
</file>