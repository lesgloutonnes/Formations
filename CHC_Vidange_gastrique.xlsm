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" ContentType="application/msword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bus\Downloads\"/>
    </mc:Choice>
  </mc:AlternateContent>
  <xr:revisionPtr revIDLastSave="0" documentId="13_ncr:1_{8BB92629-8B62-4CB4-A05F-F12EB3B67323}" xr6:coauthVersionLast="47" xr6:coauthVersionMax="47" xr10:uidLastSave="{00000000-0000-0000-0000-000000000000}"/>
  <bookViews>
    <workbookView xWindow="28680" yWindow="-120" windowWidth="29040" windowHeight="15720" tabRatio="788" activeTab="1" xr2:uid="{00000000-000D-0000-FFFF-FFFF00000000}"/>
  </bookViews>
  <sheets>
    <sheet name="Instructies" sheetId="22" r:id="rId1"/>
    <sheet name="VAST13C" sheetId="7" r:id="rId2"/>
    <sheet name="valeurs_normales_vidange_enfant" sheetId="33" r:id="rId3"/>
    <sheet name="RAPVAST13CKWS" sheetId="18" r:id="rId4"/>
    <sheet name="RAPVAST13CKWS-kind" sheetId="29" r:id="rId5"/>
    <sheet name="Data_Van_LIS_13C" sheetId="26" r:id="rId6"/>
    <sheet name="Patienten_13C" sheetId="28" r:id="rId7"/>
    <sheet name="macro-start" sheetId="11" state="veryHidden" r:id=""/>
    <sheet name="macro-keuzes" sheetId="12" state="veryHidden" r:id=""/>
    <sheet name="macro-print" sheetId="14" state="veryHidden" r:id=""/>
    <sheet name="Sheet1" sheetId="30" state="hidden" r:id="rId8"/>
    <sheet name="CO2-prod enfants" sheetId="32" r:id="rId9"/>
    <sheet name="Data_Naar_LIS_13C" sheetId="27" r:id="rId10"/>
    <sheet name="historique_revisions" sheetId="31" r:id="rId11"/>
  </sheets>
  <externalReferences>
    <externalReference r:id="rId12"/>
  </externalReferences>
  <definedNames>
    <definedName name="_xlnm._FilterDatabase" localSheetId="1" hidden="1">VAST13C!$A$1:$B$12</definedName>
    <definedName name="Afname9">Patienten_13C!$D$12</definedName>
    <definedName name="DatumVanLIS10">#REF!</definedName>
    <definedName name="DatumVanLIS11">#REF!</definedName>
    <definedName name="DatumVanLIS5">[1]AMP13C!$B$3</definedName>
    <definedName name="DatumVanLIS8">#REF!</definedName>
    <definedName name="DatumVanLIS9">VAST13C!$B$3</definedName>
    <definedName name="deel1" localSheetId="3">RAPVAST13CKWS!$A$7:$H$15</definedName>
    <definedName name="deel1">#REF!</definedName>
    <definedName name="deel2" localSheetId="3">RAPVAST13CKWS!$A$18:$B$35</definedName>
    <definedName name="deel3" localSheetId="3">RAPVAST13CKWS!$D$31:$H$36</definedName>
    <definedName name="deel4" localSheetId="3">RAPVAST13CKWS!$A$39:$B$39</definedName>
    <definedName name="Eadnrs10">#REF!</definedName>
    <definedName name="Eadnrs11">#REF!</definedName>
    <definedName name="Eadnrs8">#REF!</definedName>
    <definedName name="Eadnrs9">Patienten_13C!$A$2:$A$30</definedName>
    <definedName name="Geboortedatum10">#REF!</definedName>
    <definedName name="Geboortedatum11">#REF!</definedName>
    <definedName name="Geboortedatum8">#REF!</definedName>
    <definedName name="Geboortedatum9">Patienten_13C!$D$10</definedName>
    <definedName name="Geslacht10">#REF!</definedName>
    <definedName name="Geslacht11">#REF!</definedName>
    <definedName name="Geslacht8">#REF!</definedName>
    <definedName name="Geslacht9">Patienten_13C!$D$11</definedName>
    <definedName name="Gewicht10">#REF!</definedName>
    <definedName name="Gewicht11">#REF!</definedName>
    <definedName name="Gewicht8">#REF!</definedName>
    <definedName name="Gewicht9">Patienten_13C!$D$5</definedName>
    <definedName name="Lengte10">#REF!</definedName>
    <definedName name="Lengte11">#REF!</definedName>
    <definedName name="Lengte8">#REF!</definedName>
    <definedName name="Lengte9">Patienten_13C!$D$4</definedName>
    <definedName name="Lotnummer9">Patienten_13C!$D$7</definedName>
    <definedName name="Patient10">#REF!</definedName>
    <definedName name="Patient11">#REF!</definedName>
    <definedName name="Patient8">#REF!</definedName>
    <definedName name="Patient9">Patienten_13C!$D$8</definedName>
    <definedName name="solver_adj" localSheetId="1" hidden="1">VAST13C!$K$4:$K$6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VAST13C!$K$4</definedName>
    <definedName name="solver_lhs2" localSheetId="1" hidden="1">VAST13C!$K$5</definedName>
    <definedName name="solver_lhs3" localSheetId="1" hidden="1">VAST13C!$K$6</definedName>
    <definedName name="solver_lin" localSheetId="1" hidden="1">2</definedName>
    <definedName name="solver_neg" localSheetId="1" hidden="1">1</definedName>
    <definedName name="solver_num" localSheetId="1" hidden="1">3</definedName>
    <definedName name="solver_nwt" localSheetId="1" hidden="1">1</definedName>
    <definedName name="solver_oldadj1" localSheetId="1" hidden="1">15</definedName>
    <definedName name="solver_oldadj2" localSheetId="1" hidden="1">1.5</definedName>
    <definedName name="solver_oldadj3" localSheetId="1" hidden="1">0.7</definedName>
    <definedName name="solver_oldobj" localSheetId="1" hidden="1">718.716951969972</definedName>
    <definedName name="solver_opt" localSheetId="1" hidden="1">VAST13C!$P$35</definedName>
    <definedName name="solver_pre" localSheetId="1" hidden="1">0.000001</definedName>
    <definedName name="solver_rel1" localSheetId="1" hidden="1">3</definedName>
    <definedName name="solver_rel2" localSheetId="1" hidden="1">3</definedName>
    <definedName name="solver_rel3" localSheetId="1" hidden="1">3</definedName>
    <definedName name="solver_rhs1" localSheetId="1" hidden="1">0.0000000001</definedName>
    <definedName name="solver_rhs2" localSheetId="1" hidden="1">0.0000000001</definedName>
    <definedName name="solver_rhs3" localSheetId="1" hidden="1">0.0000000001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0.0000000001</definedName>
    <definedName name="solver_ver" localSheetId="1" hidden="1">3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<sst xmlns="http://schemas.openxmlformats.org/spreadsheetml/2006/main" count="733" uniqueCount="260">
  <si>
    <t>modèle B</t>
  </si>
  <si>
    <t>modèle W</t>
  </si>
  <si>
    <t>t1/2</t>
  </si>
  <si>
    <t>mec</t>
  </si>
  <si>
    <t>tlag</t>
  </si>
  <si>
    <t>Meilleur modèle</t>
  </si>
  <si>
    <t>temps (min)</t>
  </si>
  <si>
    <t>% Dose/h</t>
  </si>
  <si>
    <t>Cumul. % dose</t>
  </si>
  <si>
    <t xml:space="preserve">modèle B pdr </t>
  </si>
  <si>
    <t>écart quadr.</t>
  </si>
  <si>
    <t>modèle B cpdr</t>
  </si>
  <si>
    <t>modèle W pdr</t>
  </si>
  <si>
    <t>modèle W cpdr</t>
  </si>
  <si>
    <t>PDR</t>
  </si>
  <si>
    <t>CPDR</t>
  </si>
  <si>
    <t>N</t>
  </si>
  <si>
    <t>Total</t>
  </si>
  <si>
    <t>Test respiratoire isotopique de vidange gastrique des solides</t>
  </si>
  <si>
    <t>Paramètres :</t>
  </si>
  <si>
    <t>normal</t>
  </si>
  <si>
    <t>ralenti</t>
  </si>
  <si>
    <t>fortement ralenti</t>
  </si>
  <si>
    <t>patient</t>
  </si>
  <si>
    <t>MEC</t>
  </si>
  <si>
    <t>&gt; 120</t>
  </si>
  <si>
    <t>(MEC : coefficient d'évacuation gastrique)</t>
  </si>
  <si>
    <t>Dépouillement du test respiratoire à l'acide [13C]-octanoïque – vidange gastrique des solides.</t>
  </si>
  <si>
    <t>Masse molaire (g)</t>
  </si>
  <si>
    <t>nombre de C marqués</t>
  </si>
  <si>
    <t>substrat AP</t>
  </si>
  <si>
    <t>Dose (mg/kg)</t>
  </si>
  <si>
    <t>R(PDB)=</t>
  </si>
  <si>
    <t>Prod. CO2 (mmol/kg h)</t>
  </si>
  <si>
    <t>Surface corporelle BSA (m2)</t>
  </si>
  <si>
    <t>Dose (mg)</t>
  </si>
  <si>
    <t>delta13</t>
  </si>
  <si>
    <t>AP</t>
  </si>
  <si>
    <t>APE</t>
  </si>
  <si>
    <t>Taille (cm) :</t>
  </si>
  <si>
    <t>Taille (cm)</t>
  </si>
  <si>
    <t>Poids (kg)</t>
  </si>
  <si>
    <t>Production de CO2 (mmol/kg.h)</t>
  </si>
  <si>
    <t>Substrat</t>
  </si>
  <si>
    <t>Masse molaire</t>
  </si>
  <si>
    <t>Nombre de C marqués</t>
  </si>
  <si>
    <t>Substrat AP</t>
  </si>
  <si>
    <r>
      <t>t</t>
    </r>
    <r>
      <rPr>
        <b/>
        <vertAlign val="subscript"/>
        <sz val="10"/>
        <color indexed="8"/>
        <rFont val="Arial"/>
        <family val="2"/>
      </rPr>
      <t>1/2</t>
    </r>
    <r>
      <rPr>
        <b/>
        <sz val="10"/>
        <color indexed="8"/>
        <rFont val="Arial"/>
        <family val="2"/>
      </rPr>
      <t xml:space="preserve"> (min)</t>
    </r>
  </si>
  <si>
    <t>Poids (kg) :</t>
  </si>
  <si>
    <t>Interprétation :</t>
  </si>
  <si>
    <t>Date d'exécution (aammjj)</t>
  </si>
  <si>
    <t>Nom</t>
  </si>
  <si>
    <t>N° échantillon 0</t>
  </si>
  <si>
    <t>t1/2 à utiliser :</t>
  </si>
  <si>
    <t>N° patient (Eadnr)</t>
  </si>
  <si>
    <t>Données du substrat</t>
  </si>
  <si>
    <t>Paramètres techniques</t>
  </si>
  <si>
    <t>Map data  VAN LIS:</t>
  </si>
  <si>
    <t>\\uz\data\Admin\laboapps\Gastro_Entero\VanLIS\</t>
  </si>
  <si>
    <t>Bestandsnaam data  VAN LIS:</t>
  </si>
  <si>
    <t>Map data  NAAR LIS:</t>
  </si>
  <si>
    <t>\\uz\data\Admin\laboapps\Gastro_Entero\NaarLIS\</t>
  </si>
  <si>
    <t>Bestandsnaam data  NAAR LIS:</t>
  </si>
  <si>
    <t>N° patient+Crit</t>
  </si>
  <si>
    <t>Patient</t>
  </si>
  <si>
    <t>H2</t>
  </si>
  <si>
    <t>Delta13</t>
  </si>
  <si>
    <t>Dpm</t>
  </si>
  <si>
    <t>Taille</t>
  </si>
  <si>
    <t>Poids</t>
  </si>
  <si>
    <t>Plainte</t>
  </si>
  <si>
    <t>N° de lot</t>
  </si>
  <si>
    <t>Critère</t>
  </si>
  <si>
    <t>Aucune.</t>
  </si>
  <si>
    <t>dose</t>
  </si>
  <si>
    <t>co2pr</t>
  </si>
  <si>
    <t>subst</t>
  </si>
  <si>
    <t>export</t>
  </si>
  <si>
    <t>conclusion</t>
  </si>
  <si>
    <t>rem.</t>
  </si>
  <si>
    <t>mecva</t>
  </si>
  <si>
    <t>t1/2va</t>
  </si>
  <si>
    <t>Remarque :</t>
  </si>
  <si>
    <t>mm</t>
  </si>
  <si>
    <t>marqué</t>
  </si>
  <si>
    <t>subsap</t>
  </si>
  <si>
    <t>13c</t>
  </si>
  <si>
    <t>cum13c</t>
  </si>
  <si>
    <t>13C-octanoïque (LGE)</t>
  </si>
  <si>
    <t>Backup naam data:</t>
  </si>
  <si>
    <t>Backup map:</t>
  </si>
  <si>
    <t>Date de naissance</t>
  </si>
  <si>
    <t>Sexe</t>
  </si>
  <si>
    <t>Naissance (aaaammjj) (Sexe)</t>
  </si>
  <si>
    <t>Âge en années</t>
  </si>
  <si>
    <t>Éch. 0</t>
  </si>
  <si>
    <t>Éch. 00</t>
  </si>
  <si>
    <t>MOYENNE</t>
  </si>
  <si>
    <t>Code :</t>
  </si>
  <si>
    <t>Prod. CO2 selon table</t>
  </si>
  <si>
    <t>1  = PRÉMATURÉS</t>
  </si>
  <si>
    <t>CHOIX</t>
  </si>
  <si>
    <t>3 = ADULTES</t>
  </si>
  <si>
    <t>À REMPLIR UNIQUEMENT POUR LES ENFANTS (code=2) :</t>
  </si>
  <si>
    <t>Prescription (date-heure)</t>
  </si>
  <si>
    <t>Prescription (date-heure) – repris des données patient</t>
  </si>
  <si>
    <t xml:space="preserve">      Vidange gastrique normale</t>
  </si>
  <si>
    <t xml:space="preserve">      Vidange gastrique ralentie</t>
  </si>
  <si>
    <t xml:space="preserve">      Vidange gastrique fortement ralentie</t>
  </si>
  <si>
    <t>Date</t>
  </si>
  <si>
    <t>Auteur</t>
  </si>
  <si>
    <t>Modification</t>
  </si>
  <si>
    <t>Els Houben</t>
  </si>
  <si>
    <t xml:space="preserve">Première édition </t>
  </si>
  <si>
    <t>'export' et 'clear form' regroupés dans une seule macro</t>
  </si>
  <si>
    <t xml:space="preserve"> </t>
  </si>
  <si>
    <t>garçons</t>
  </si>
  <si>
    <t>filles</t>
  </si>
  <si>
    <t>poids</t>
  </si>
  <si>
    <t>CO2</t>
  </si>
  <si>
    <t>kg</t>
  </si>
  <si>
    <t>mmol/h</t>
  </si>
  <si>
    <t>mmol/kg.h</t>
  </si>
  <si>
    <t>1 semaine - 10 mois</t>
  </si>
  <si>
    <t>10 mois - 3 ans 2 mois</t>
  </si>
  <si>
    <t>3-16 ans</t>
  </si>
  <si>
    <t>2 = ENFANTS JUSQU'À 16 ANS ET MAX 80 KG</t>
  </si>
  <si>
    <t>Valeurs normales t1/2 vidange gastrique enfants</t>
  </si>
  <si>
    <t>Garçons</t>
  </si>
  <si>
    <t>Filles</t>
  </si>
  <si>
    <t>Phase solide</t>
  </si>
  <si>
    <t>phase liquide</t>
  </si>
  <si>
    <t>Phase liquide</t>
  </si>
  <si>
    <t>âge</t>
  </si>
  <si>
    <t>P75 (ralenti)</t>
  </si>
  <si>
    <t>P95 (fortement ralenti)</t>
  </si>
  <si>
    <t>onglet CO2-prod enfants ajouté
message d'erreur si la conclusion n'est pas complétée
cellule sexe ajoutée
la prod. CO2 des enfants est calculée automatiquement
onglet valeurs normales ajouté</t>
  </si>
  <si>
    <t>I. Janssens</t>
  </si>
  <si>
    <t>En-tête et pied de page ajoutés</t>
  </si>
  <si>
    <t>Erreur dans la cellule B19 corrigée</t>
  </si>
  <si>
    <t>onglet retiré de l'en-tête</t>
  </si>
  <si>
    <t>Codes de lot</t>
  </si>
  <si>
    <t>N° de lot :</t>
  </si>
  <si>
    <t>fenêtre pop-up si la conclusion n'est pas complétée
message d'erreur (16-6-2014) supprimé
la dose d'acide octanoïque est adaptée selon le n° de lot gastropan
onglet RAPVAST13CKWS visible à l'ouverture du résultat patient
enregistrement en xlsm dans URL 104D
la date est affichée sans l'heure</t>
  </si>
  <si>
    <t xml:space="preserve">Dans la macro 'Startwaarden_en_solver_met_reset', 0 remplacé par 0.0000000001 suite à une erreur du Solveur (si aucun ajustement trouvé) </t>
  </si>
  <si>
    <t>7-4-2015</t>
  </si>
  <si>
    <t>15-5-2015</t>
  </si>
  <si>
    <t>Onglet VAST13C : code couleur si IMC erroné
formule prod. CO2 enfants améliorée</t>
  </si>
  <si>
    <t>An Smets</t>
  </si>
  <si>
    <t>Import du n° de lot</t>
  </si>
  <si>
    <t>l'âge est calculé à partir de la date de demande au lieu de "maintenant()"</t>
  </si>
  <si>
    <t>Formule de calcul de l'âge adaptée. L'âge est calculé à partir de la date de demande et plus à partir du jour d'ouverture du fichier "maintenant()".</t>
  </si>
  <si>
    <t xml:space="preserve">Bug de transfert de la dose vers le LIS corrigé en rendant l'onglet Data_naar_LIS_13C visible à l'ouverture de SOP-020 PRG-4.
Feuille VAST13C protégée par mot de passe et message d'erreur NB supprimé si l'échantillon n'est pas scanné sur la liste de travail.
Message d'erreur si plusieurs conclusions sont cochées.
</t>
  </si>
  <si>
    <t>13C-oct</t>
  </si>
  <si>
    <t>chiffres : gastropan ; lettres : œuf + 13C-oct</t>
  </si>
  <si>
    <t>n° de lot ajouté pour le cas où, en cas d'allergie au gluten, le mix gastropan est remplacé par un œuf marqué à l'acide 13C-octanoïque</t>
  </si>
  <si>
    <t>lot gastropan ajouté. Message pop-up en cas de vidange gastrique d'un enfant.</t>
  </si>
  <si>
    <t>Onglet 'Data_Naar_LIS_13C' rendu visible et protection retirée</t>
  </si>
  <si>
    <t>LABORATOIRE DE BIOLOGIE CLINIQUE</t>
  </si>
  <si>
    <t>CHC MontLégia – Bd Patience et Beaujonc 2, 4000 Liège</t>
  </si>
  <si>
    <t>agrément : (à compléter)</t>
  </si>
  <si>
    <t xml:space="preserve">Rapport détaillé (graphique) imprimé le </t>
  </si>
  <si>
    <t>p. 1/1</t>
  </si>
  <si>
    <t>Backup naam pdf</t>
  </si>
  <si>
    <t>Backup map: pdf</t>
  </si>
  <si>
    <t xml:space="preserve">n° d'échantillon ajouté au nom du pdf + xlsm (fichier de sauvegarde patient URL-104)
onglet LAKRAPKWS : en-tête et pied de page adaptés (analogues au rapport LWS) ; RAPVAST13CKWS(-kind) protégé lors de l'enregistrement des données patient
</t>
  </si>
  <si>
    <t>tél. : (à compléter)</t>
  </si>
  <si>
    <t xml:space="preserve">le pdf est enregistré dans le dossier LIS (voir onglet instructions)
suite au contrôle du transfert de données : la dose était exportée vers le LWS au lieu de dose/mg
la remarque n'était pas visible dans RAPVAST13CKWS
le document est protégé à l'ouverture et les bons onglets sont visibles (macro Auto_Open)
sauvegarde patient en xls au lieu de xlsm
</t>
  </si>
  <si>
    <t>\\UZ\Data\Admin\laboapps\Gastro_Entero\BeeldenNaarLIS\</t>
  </si>
  <si>
    <t xml:space="preserve">le pdf est correctement enregistré dans le dossier LWS (voir onglet instructions) - \ ajouté après le lien
lot b ajouté dans l'onglet VAST13C
</t>
  </si>
  <si>
    <t>message d'erreur si l'horodatage de prescription n'est pas complété (via macro export_13C)</t>
  </si>
  <si>
    <t>Lot 17K20 ajouté</t>
  </si>
  <si>
    <t>Conclusion :</t>
  </si>
  <si>
    <t>Remarques complémentaires :</t>
  </si>
  <si>
    <r>
      <rPr>
        <sz val="10"/>
        <color indexed="8"/>
        <rFont val="Calibri"/>
        <family val="2"/>
      </rPr>
      <t>≥</t>
    </r>
    <r>
      <rPr>
        <sz val="10"/>
        <color indexed="8"/>
        <rFont val="Arial"/>
        <family val="2"/>
      </rPr>
      <t xml:space="preserve"> 3.10</t>
    </r>
  </si>
  <si>
    <t>76-120</t>
  </si>
  <si>
    <t>3.11-2.50</t>
  </si>
  <si>
    <r>
      <rPr>
        <sz val="10"/>
        <color indexed="8"/>
        <rFont val="Calibri"/>
        <family val="2"/>
      </rPr>
      <t>≤</t>
    </r>
    <r>
      <rPr>
        <sz val="10"/>
        <color indexed="8"/>
        <rFont val="Arial"/>
        <family val="2"/>
      </rPr>
      <t xml:space="preserve"> 75</t>
    </r>
  </si>
  <si>
    <r>
      <rPr>
        <sz val="10"/>
        <color indexed="8"/>
        <rFont val="Calibri"/>
        <family val="2"/>
      </rPr>
      <t xml:space="preserve">&lt; </t>
    </r>
    <r>
      <rPr>
        <sz val="10"/>
        <color indexed="8"/>
        <rFont val="Arial"/>
        <family val="2"/>
      </rPr>
      <t xml:space="preserve"> 2.50</t>
    </r>
  </si>
  <si>
    <t>écart entre les deltas à jeun</t>
  </si>
  <si>
    <t>longueur remarque</t>
  </si>
  <si>
    <t>c</t>
  </si>
  <si>
    <t>- Uniformisation du rapport
- message d'erreur si les enrichissements à jeun diffèrent de &gt;1‰
- liste de choix pour les remarques complémentaires
- ajout du lot 'c'</t>
  </si>
  <si>
    <t>Liste de choix</t>
  </si>
  <si>
    <t>Valeur limite pour un test normal</t>
  </si>
  <si>
    <t>Le repas-test ne contenait que du jaune d'œuf et du pain sans gluten (pas de blanc d'œuf) : les valeurs normales ne sont en principe pas valables</t>
  </si>
  <si>
    <t>Le test comportait trop d'échantillons avec un CO2 insuffisant pour une analyse fiable : aucune courbe n'a pu être ajustée</t>
  </si>
  <si>
    <t>Le patient n'a mangé que ... du repas-test : les valeurs normales ne sont en principe pas valables</t>
  </si>
  <si>
    <t>acide [C-13]-octanoïque</t>
  </si>
  <si>
    <t xml:space="preserve">Production de CO2 (mmol/kg h)</t>
  </si>
  <si>
    <t>utilisation de la notation [C-13] au lieu de 13C dans l'onglet VAST13C (substrat)</t>
  </si>
  <si>
    <t>- dans la macro export, "âge 18 ans" remplacé par "âge 17.5 ans", voir DIAGA-2183</t>
  </si>
  <si>
    <t>Lot 19I02 ajouté</t>
  </si>
  <si>
    <t>Lot 8 ajouté</t>
  </si>
  <si>
    <t>Date du jour = date d'exécution dans l'onglet VAST13C</t>
  </si>
  <si>
    <t>adaptations de l'onglet "Data_naar_LIS_13C" dans le cadre de l'ID échantillon unique</t>
  </si>
  <si>
    <t>19I02_3</t>
  </si>
  <si>
    <t>R012A</t>
  </si>
  <si>
    <t>Lots 9 et 10 ajoutés</t>
  </si>
  <si>
    <t>Validation</t>
  </si>
  <si>
    <t>lot D ajouté</t>
  </si>
  <si>
    <t>-import automatique à l'ouverture du document
-valeurs de référence adultes visibles sur l'onglet VAST13C
-mise en forme conditionnelle selon les valeurs de référence adultes
-macros superflues supprimées
-l'âge est affiché avec 2 décimales</t>
  </si>
  <si>
    <t>s.o.</t>
  </si>
  <si>
    <t>Erreur d'import due au navigateur Google Chrome résolue en généralisant la commande VBA</t>
  </si>
  <si>
    <t>Code couleur adapté pour les enfants (bleu foncé remplacé par bleu clair)</t>
  </si>
  <si>
    <t>IdEch_Date</t>
  </si>
  <si>
    <t>Id éch.</t>
  </si>
  <si>
    <t>Adaptations dans tout le document suite à la suppression des listes de chargement</t>
  </si>
  <si>
    <t>e</t>
  </si>
  <si>
    <t>Lot E ajouté
Référence de cellule "data naar LIS" complétée via macro</t>
  </si>
  <si>
    <t>d</t>
  </si>
  <si>
    <t>En raison de l'âge (valeurs normales enfant - adulte) : valeur seuil xx - xx</t>
  </si>
  <si>
    <t>Liste de choix des réponses standard élargie</t>
  </si>
  <si>
    <t>N° patient</t>
  </si>
  <si>
    <t>Crit</t>
  </si>
  <si>
    <t>BOSMANS LAUREN</t>
  </si>
  <si>
    <t>00 min</t>
  </si>
  <si>
    <t>V</t>
  </si>
  <si>
    <t>15 min</t>
  </si>
  <si>
    <t>30 min</t>
  </si>
  <si>
    <t>45 min</t>
  </si>
  <si>
    <t>60 min</t>
  </si>
  <si>
    <t>75 min</t>
  </si>
  <si>
    <t>90 min</t>
  </si>
  <si>
    <t>105 min</t>
  </si>
  <si>
    <t>120 min</t>
  </si>
  <si>
    <t>135 min</t>
  </si>
  <si>
    <t>150 min</t>
  </si>
  <si>
    <t>165 min</t>
  </si>
  <si>
    <t>180 min</t>
  </si>
  <si>
    <t>195 min</t>
  </si>
  <si>
    <t>210 min</t>
  </si>
  <si>
    <t>225 min</t>
  </si>
  <si>
    <t>240 min</t>
  </si>
  <si>
    <t>KEYMOLEN EVA HENRIETTE</t>
  </si>
  <si>
    <t>0 min</t>
  </si>
  <si>
    <t>BRICHAU AAGJE FIEN</t>
  </si>
  <si>
    <t>VERHOEVEN DIANA ROSA</t>
  </si>
  <si>
    <t>BOFFEL SARAH-DANIELLE</t>
  </si>
  <si>
    <t>CASIER ROBIN PAUL</t>
  </si>
  <si>
    <t>M</t>
  </si>
  <si>
    <t>DOGGE MACY</t>
  </si>
  <si>
    <t>E</t>
  </si>
  <si>
    <t>f</t>
  </si>
  <si>
    <t>I27413</t>
  </si>
  <si>
    <t>\\uz\data\LaboratoriumGeneeskunde\URL\PT3\URL_104_Backup_Ruwe_Data_Gastro_Enterologie\</t>
  </si>
  <si>
    <t>Gertjan Gysembergt
Els Houben</t>
  </si>
  <si>
    <t>16-1-2024
21-1-2024</t>
  </si>
  <si>
    <t>Lot F ajouté
Lien URL PT6 remplacé par PT3</t>
  </si>
  <si>
    <t>Date de prescription</t>
  </si>
  <si>
    <t>Libellé "date d'analyse" remplacé par "date de prescription" sur le rapport</t>
  </si>
  <si>
    <t>SOP-020 PRG-6 version 251014</t>
  </si>
  <si>
    <t>g1</t>
  </si>
  <si>
    <t>B002476</t>
  </si>
  <si>
    <t>g2</t>
  </si>
  <si>
    <t>oui</t>
  </si>
  <si>
    <t>Lots G1 et G2 ajoutés cf. DIAGA-14372</t>
  </si>
  <si>
    <t>C</t>
  </si>
  <si>
    <t>CHC (adaptation)</t>
  </si>
  <si>
    <t>Version CHC : interface traduite en français ; suppression de la protection par mot de passe (feuilles et projet VBA) ; suppression des fonctions et boutons d'import/export LIS (saisie manuelle des données dans Data_Van_LIS_13C, n° patient dans Patienten_13C) ; bouton « Effacer le formulaire » à la place de « Export &amp; Clear form 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</si>
</sst>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"/>
    <numFmt numFmtId="166" formatCode="0.0"/>
  </numFmts>
  <fonts count="36" x14ac:knownFonts="1">
    <font>
      <sz val="10"/>
      <name val="Arial"/>
    </font>
    <font>
      <sz val="10"/>
      <name val="Arial"/>
      <family val="2"/>
    </font>
    <font>
      <sz val="10"/>
      <name val="MS Sans Serif"/>
      <family val="2"/>
    </font>
    <font>
      <sz val="8"/>
      <name val="Arial"/>
      <family val="2"/>
    </font>
    <font>
      <sz val="12"/>
      <name val="Helv"/>
    </font>
    <font>
      <sz val="12"/>
      <name val="MS Sans Serif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vertAlign val="subscript"/>
      <sz val="10"/>
      <color indexed="8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b/>
      <u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MS Sans Serif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0"/>
      <name val="Arial"/>
      <family val="2"/>
    </font>
    <font>
      <b/>
      <sz val="11"/>
      <color theme="1"/>
      <name val="Arial"/>
      <family val="2"/>
    </font>
    <font>
      <sz val="10"/>
      <color rgb="FFFF0000"/>
      <name val="Arial"/>
      <family val="2"/>
    </font>
    <font>
      <sz val="12"/>
      <name val="Arial"/>
      <family val="2"/>
    </font>
    <font>
      <sz val="10"/>
      <color indexed="8"/>
      <name val="Calibri"/>
      <family val="2"/>
    </font>
    <font>
      <b/>
      <vertAlign val="subscript"/>
      <sz val="10"/>
      <name val="Arial"/>
      <family val="2"/>
    </font>
    <font>
      <b/>
      <sz val="12"/>
      <color rgb="FF000000"/>
      <name val="MS Sans Serif"/>
    </font>
    <font>
      <sz val="10"/>
      <color rgb="FF000000"/>
      <name val="MS Sans Serif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Horizontal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</cellStyleXfs>
  <cellXfs count="241">
    <xf numFmtId="0" fontId="0" fillId="0" borderId="0" xfId="0"/>
    <xf numFmtId="0" fontId="2" fillId="0" borderId="0" xfId="2"/>
    <xf numFmtId="0" fontId="5" fillId="0" borderId="0" xfId="2" applyFont="1"/>
    <xf numFmtId="0" fontId="4" fillId="0" borderId="0" xfId="2" applyFont="1"/>
    <xf numFmtId="0" fontId="6" fillId="0" borderId="0" xfId="2" applyFont="1"/>
    <xf numFmtId="0" fontId="6" fillId="0" borderId="0" xfId="2" applyFont="1" applyAlignment="1">
      <alignment horizontal="left"/>
    </xf>
    <xf numFmtId="0" fontId="6" fillId="0" borderId="0" xfId="0" applyFont="1"/>
    <xf numFmtId="0" fontId="7" fillId="0" borderId="0" xfId="2" applyFont="1"/>
    <xf numFmtId="14" fontId="6" fillId="0" borderId="0" xfId="2" applyNumberFormat="1" applyFont="1" applyAlignment="1">
      <alignment horizontal="left"/>
    </xf>
    <xf numFmtId="2" fontId="6" fillId="0" borderId="0" xfId="2" applyNumberFormat="1" applyFont="1"/>
    <xf numFmtId="2" fontId="6" fillId="0" borderId="0" xfId="2" applyNumberFormat="1" applyFont="1" applyAlignment="1">
      <alignment horizontal="center"/>
    </xf>
    <xf numFmtId="164" fontId="6" fillId="0" borderId="0" xfId="2" applyNumberFormat="1" applyFont="1" applyAlignment="1">
      <alignment horizontal="center"/>
    </xf>
    <xf numFmtId="0" fontId="8" fillId="0" borderId="0" xfId="3" applyFont="1"/>
    <xf numFmtId="0" fontId="9" fillId="0" borderId="0" xfId="3" applyFont="1" applyAlignment="1">
      <alignment horizontal="center"/>
    </xf>
    <xf numFmtId="0" fontId="10" fillId="0" borderId="7" xfId="3" applyFont="1" applyBorder="1"/>
    <xf numFmtId="0" fontId="9" fillId="0" borderId="7" xfId="3" applyFont="1" applyBorder="1"/>
    <xf numFmtId="0" fontId="10" fillId="0" borderId="0" xfId="3" applyFont="1"/>
    <xf numFmtId="0" fontId="10" fillId="0" borderId="13" xfId="3" applyFont="1" applyBorder="1"/>
    <xf numFmtId="0" fontId="10" fillId="0" borderId="9" xfId="3" applyFont="1" applyBorder="1" applyAlignment="1">
      <alignment horizontal="center"/>
    </xf>
    <xf numFmtId="0" fontId="9" fillId="0" borderId="14" xfId="3" applyFont="1" applyBorder="1" applyAlignment="1">
      <alignment horizontal="center"/>
    </xf>
    <xf numFmtId="0" fontId="9" fillId="0" borderId="0" xfId="3" applyFont="1"/>
    <xf numFmtId="0" fontId="9" fillId="0" borderId="15" xfId="3" applyFont="1" applyBorder="1"/>
    <xf numFmtId="0" fontId="10" fillId="0" borderId="0" xfId="3" applyFont="1" applyAlignment="1">
      <alignment horizontal="center"/>
    </xf>
    <xf numFmtId="0" fontId="10" fillId="0" borderId="19" xfId="3" applyFont="1" applyBorder="1" applyAlignment="1">
      <alignment horizontal="center"/>
    </xf>
    <xf numFmtId="2" fontId="9" fillId="2" borderId="16" xfId="3" applyNumberFormat="1" applyFont="1" applyFill="1" applyBorder="1" applyAlignment="1">
      <alignment horizontal="center"/>
    </xf>
    <xf numFmtId="0" fontId="9" fillId="0" borderId="17" xfId="3" applyFont="1" applyBorder="1"/>
    <xf numFmtId="0" fontId="10" fillId="0" borderId="7" xfId="3" applyFont="1" applyBorder="1" applyAlignment="1">
      <alignment horizontal="center"/>
    </xf>
    <xf numFmtId="1" fontId="9" fillId="2" borderId="18" xfId="3" applyNumberFormat="1" applyFont="1" applyFill="1" applyBorder="1" applyAlignment="1">
      <alignment horizontal="center"/>
    </xf>
    <xf numFmtId="0" fontId="6" fillId="0" borderId="0" xfId="2" applyFont="1" applyAlignment="1">
      <alignment horizontal="center"/>
    </xf>
    <xf numFmtId="0" fontId="12" fillId="0" borderId="12" xfId="2" applyFont="1" applyBorder="1" applyAlignment="1">
      <alignment horizontal="center"/>
    </xf>
    <xf numFmtId="0" fontId="13" fillId="0" borderId="0" xfId="2" applyFont="1" applyAlignment="1">
      <alignment horizontal="center"/>
    </xf>
    <xf numFmtId="0" fontId="14" fillId="0" borderId="0" xfId="0" applyFont="1" applyAlignment="1">
      <alignment horizontal="left"/>
    </xf>
    <xf numFmtId="2" fontId="16" fillId="3" borderId="0" xfId="1" applyNumberFormat="1" applyFont="1" applyFill="1" applyAlignment="1">
      <alignment vertical="center"/>
    </xf>
    <xf numFmtId="2" fontId="16" fillId="3" borderId="3" xfId="1" applyNumberFormat="1" applyFont="1" applyFill="1" applyBorder="1" applyAlignment="1">
      <alignment vertical="center"/>
    </xf>
    <xf numFmtId="0" fontId="16" fillId="4" borderId="0" xfId="0" applyFont="1" applyFill="1" applyAlignment="1" applyProtection="1">
      <alignment horizontal="left" vertical="center"/>
      <protection locked="0"/>
    </xf>
    <xf numFmtId="0" fontId="1" fillId="6" borderId="0" xfId="0" applyFont="1" applyFill="1"/>
    <xf numFmtId="0" fontId="1" fillId="0" borderId="0" xfId="0" applyFont="1"/>
    <xf numFmtId="0" fontId="1" fillId="6" borderId="0" xfId="0" applyFont="1" applyFill="1" applyAlignment="1">
      <alignment horizontal="right"/>
    </xf>
    <xf numFmtId="0" fontId="21" fillId="6" borderId="0" xfId="0" applyFont="1" applyFill="1"/>
    <xf numFmtId="0" fontId="7" fillId="6" borderId="0" xfId="0" applyFont="1" applyFill="1"/>
    <xf numFmtId="0" fontId="7" fillId="0" borderId="0" xfId="0" applyFont="1"/>
    <xf numFmtId="0" fontId="0" fillId="6" borderId="0" xfId="0" applyFill="1"/>
    <xf numFmtId="2" fontId="0" fillId="0" borderId="0" xfId="0" applyNumberFormat="1"/>
    <xf numFmtId="1" fontId="0" fillId="0" borderId="0" xfId="0" applyNumberFormat="1"/>
    <xf numFmtId="0" fontId="0" fillId="7" borderId="0" xfId="0" applyFill="1"/>
    <xf numFmtId="14" fontId="0" fillId="0" borderId="0" xfId="0" applyNumberFormat="1"/>
    <xf numFmtId="0" fontId="22" fillId="6" borderId="0" xfId="5" applyFill="1" applyAlignment="1" applyProtection="1"/>
    <xf numFmtId="0" fontId="23" fillId="6" borderId="0" xfId="0" applyFont="1" applyFill="1" applyAlignment="1">
      <alignment horizontal="right"/>
    </xf>
    <xf numFmtId="14" fontId="6" fillId="0" borderId="0" xfId="2" applyNumberFormat="1" applyFont="1" applyAlignment="1">
      <alignment horizontal="right"/>
    </xf>
    <xf numFmtId="1" fontId="7" fillId="6" borderId="0" xfId="0" applyNumberFormat="1" applyFont="1" applyFill="1"/>
    <xf numFmtId="0" fontId="6" fillId="0" borderId="0" xfId="2" applyFont="1" applyAlignment="1">
      <alignment horizontal="left" vertical="top" wrapText="1"/>
    </xf>
    <xf numFmtId="2" fontId="16" fillId="5" borderId="4" xfId="1" applyNumberFormat="1" applyFont="1" applyFill="1" applyBorder="1" applyAlignment="1">
      <alignment horizontal="center" vertical="center"/>
    </xf>
    <xf numFmtId="0" fontId="1" fillId="8" borderId="0" xfId="0" applyFont="1" applyFill="1"/>
    <xf numFmtId="0" fontId="0" fillId="8" borderId="0" xfId="0" applyFill="1"/>
    <xf numFmtId="0" fontId="6" fillId="0" borderId="0" xfId="2" applyFont="1" applyAlignment="1">
      <alignment vertical="top" wrapText="1"/>
    </xf>
    <xf numFmtId="0" fontId="26" fillId="0" borderId="0" xfId="0" applyFont="1" applyAlignment="1">
      <alignment horizontal="center"/>
    </xf>
    <xf numFmtId="0" fontId="26" fillId="0" borderId="15" xfId="0" applyFont="1" applyBorder="1" applyAlignment="1">
      <alignment horizontal="center"/>
    </xf>
    <xf numFmtId="0" fontId="26" fillId="0" borderId="34" xfId="0" applyFont="1" applyBorder="1" applyAlignment="1">
      <alignment horizontal="center"/>
    </xf>
    <xf numFmtId="0" fontId="26" fillId="0" borderId="30" xfId="0" applyFont="1" applyBorder="1" applyAlignment="1">
      <alignment horizontal="center"/>
    </xf>
    <xf numFmtId="166" fontId="0" fillId="0" borderId="0" xfId="0" applyNumberFormat="1"/>
    <xf numFmtId="0" fontId="0" fillId="0" borderId="15" xfId="0" applyBorder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2" fontId="13" fillId="0" borderId="0" xfId="2" applyNumberFormat="1" applyFont="1" applyAlignment="1">
      <alignment horizontal="center"/>
    </xf>
    <xf numFmtId="0" fontId="14" fillId="3" borderId="1" xfId="0" applyFont="1" applyFill="1" applyBorder="1"/>
    <xf numFmtId="0" fontId="14" fillId="3" borderId="36" xfId="0" applyFont="1" applyFill="1" applyBorder="1"/>
    <xf numFmtId="0" fontId="14" fillId="3" borderId="2" xfId="0" applyFont="1" applyFill="1" applyBorder="1"/>
    <xf numFmtId="0" fontId="1" fillId="3" borderId="39" xfId="0" applyFont="1" applyFill="1" applyBorder="1"/>
    <xf numFmtId="0" fontId="1" fillId="3" borderId="34" xfId="0" applyFont="1" applyFill="1" applyBorder="1"/>
    <xf numFmtId="0" fontId="1" fillId="3" borderId="40" xfId="0" applyFont="1" applyFill="1" applyBorder="1"/>
    <xf numFmtId="0" fontId="28" fillId="0" borderId="36" xfId="0" applyFont="1" applyBorder="1"/>
    <xf numFmtId="0" fontId="28" fillId="0" borderId="0" xfId="0" applyFont="1"/>
    <xf numFmtId="0" fontId="1" fillId="5" borderId="0" xfId="0" applyFont="1" applyFill="1" applyAlignment="1">
      <alignment horizontal="left"/>
    </xf>
    <xf numFmtId="1" fontId="1" fillId="5" borderId="0" xfId="0" applyNumberFormat="1" applyFont="1" applyFill="1" applyAlignment="1">
      <alignment horizontal="left"/>
    </xf>
    <xf numFmtId="0" fontId="1" fillId="0" borderId="33" xfId="0" applyFont="1" applyBorder="1" applyAlignment="1">
      <alignment horizontal="left" vertical="top" wrapText="1"/>
    </xf>
    <xf numFmtId="0" fontId="16" fillId="0" borderId="33" xfId="0" applyFont="1" applyBorder="1" applyAlignment="1">
      <alignment horizontal="left" vertical="top" wrapText="1"/>
    </xf>
    <xf numFmtId="0" fontId="20" fillId="0" borderId="23" xfId="1" applyFont="1" applyBorder="1" applyAlignment="1">
      <alignment vertical="center"/>
    </xf>
    <xf numFmtId="0" fontId="16" fillId="0" borderId="24" xfId="1" applyFont="1" applyBorder="1" applyAlignment="1">
      <alignment vertical="center"/>
    </xf>
    <xf numFmtId="0" fontId="16" fillId="0" borderId="24" xfId="1" applyFont="1" applyBorder="1" applyAlignment="1">
      <alignment horizontal="center" vertical="center"/>
    </xf>
    <xf numFmtId="0" fontId="16" fillId="0" borderId="25" xfId="1" applyFont="1" applyBorder="1" applyAlignment="1">
      <alignment vertical="center"/>
    </xf>
    <xf numFmtId="0" fontId="16" fillId="0" borderId="0" xfId="1" applyFont="1" applyAlignment="1">
      <alignment vertical="center"/>
    </xf>
    <xf numFmtId="0" fontId="16" fillId="0" borderId="3" xfId="1" applyFont="1" applyBorder="1" applyAlignment="1">
      <alignment vertical="center"/>
    </xf>
    <xf numFmtId="0" fontId="16" fillId="0" borderId="0" xfId="1" applyFont="1" applyAlignment="1">
      <alignment horizontal="center" vertical="center"/>
    </xf>
    <xf numFmtId="0" fontId="16" fillId="0" borderId="4" xfId="1" applyFont="1" applyBorder="1" applyAlignment="1">
      <alignment vertical="center"/>
    </xf>
    <xf numFmtId="0" fontId="16" fillId="3" borderId="3" xfId="0" applyFont="1" applyFill="1" applyBorder="1" applyAlignment="1">
      <alignment vertical="top" wrapText="1"/>
    </xf>
    <xf numFmtId="0" fontId="16" fillId="0" borderId="0" xfId="0" applyFont="1" applyAlignment="1">
      <alignment horizontal="left" vertical="center"/>
    </xf>
    <xf numFmtId="0" fontId="16" fillId="3" borderId="23" xfId="1" applyFont="1" applyFill="1" applyBorder="1" applyAlignment="1">
      <alignment vertical="center"/>
    </xf>
    <xf numFmtId="0" fontId="16" fillId="3" borderId="25" xfId="1" applyFont="1" applyFill="1" applyBorder="1" applyAlignment="1">
      <alignment vertical="center"/>
    </xf>
    <xf numFmtId="0" fontId="15" fillId="3" borderId="23" xfId="1" applyFont="1" applyFill="1" applyBorder="1" applyAlignment="1">
      <alignment vertical="center"/>
    </xf>
    <xf numFmtId="0" fontId="15" fillId="3" borderId="25" xfId="1" applyFont="1" applyFill="1" applyBorder="1" applyAlignment="1">
      <alignment vertical="center"/>
    </xf>
    <xf numFmtId="0" fontId="15" fillId="3" borderId="24" xfId="1" applyFont="1" applyFill="1" applyBorder="1" applyAlignment="1">
      <alignment vertical="center"/>
    </xf>
    <xf numFmtId="0" fontId="15" fillId="3" borderId="25" xfId="1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vertical="center"/>
    </xf>
    <xf numFmtId="0" fontId="16" fillId="3" borderId="3" xfId="1" applyFont="1" applyFill="1" applyBorder="1" applyAlignment="1">
      <alignment vertical="center"/>
    </xf>
    <xf numFmtId="0" fontId="16" fillId="5" borderId="4" xfId="1" applyFont="1" applyFill="1" applyBorder="1" applyAlignment="1">
      <alignment vertical="center"/>
    </xf>
    <xf numFmtId="2" fontId="16" fillId="5" borderId="4" xfId="1" applyNumberFormat="1" applyFont="1" applyFill="1" applyBorder="1" applyAlignment="1">
      <alignment vertical="center"/>
    </xf>
    <xf numFmtId="0" fontId="16" fillId="3" borderId="0" xfId="1" applyFont="1" applyFill="1" applyAlignment="1">
      <alignment vertical="center"/>
    </xf>
    <xf numFmtId="0" fontId="16" fillId="5" borderId="4" xfId="1" applyFont="1" applyFill="1" applyBorder="1" applyAlignment="1">
      <alignment horizontal="center" vertical="center"/>
    </xf>
    <xf numFmtId="0" fontId="16" fillId="5" borderId="0" xfId="0" applyFont="1" applyFill="1" applyAlignment="1">
      <alignment horizontal="left" vertical="center"/>
    </xf>
    <xf numFmtId="0" fontId="16" fillId="3" borderId="5" xfId="1" applyFont="1" applyFill="1" applyBorder="1" applyAlignment="1">
      <alignment vertical="center"/>
    </xf>
    <xf numFmtId="2" fontId="16" fillId="5" borderId="6" xfId="1" applyNumberFormat="1" applyFont="1" applyFill="1" applyBorder="1" applyAlignment="1">
      <alignment vertical="center"/>
    </xf>
    <xf numFmtId="0" fontId="16" fillId="3" borderId="7" xfId="1" applyFont="1" applyFill="1" applyBorder="1" applyAlignment="1">
      <alignment vertical="center"/>
    </xf>
    <xf numFmtId="0" fontId="16" fillId="5" borderId="6" xfId="1" applyFont="1" applyFill="1" applyBorder="1" applyAlignment="1">
      <alignment horizontal="center" vertical="center"/>
    </xf>
    <xf numFmtId="0" fontId="16" fillId="0" borderId="3" xfId="0" applyFont="1" applyBorder="1" applyAlignment="1">
      <alignment vertical="center"/>
    </xf>
    <xf numFmtId="0" fontId="16" fillId="3" borderId="3" xfId="0" applyFont="1" applyFill="1" applyBorder="1" applyAlignment="1">
      <alignment vertical="top"/>
    </xf>
    <xf numFmtId="14" fontId="16" fillId="5" borderId="0" xfId="1" applyNumberFormat="1" applyFont="1" applyFill="1" applyAlignment="1">
      <alignment horizontal="left" vertical="top"/>
    </xf>
    <xf numFmtId="0" fontId="1" fillId="3" borderId="3" xfId="0" applyFont="1" applyFill="1" applyBorder="1"/>
    <xf numFmtId="0" fontId="16" fillId="5" borderId="6" xfId="1" applyFont="1" applyFill="1" applyBorder="1" applyAlignment="1">
      <alignment vertical="center"/>
    </xf>
    <xf numFmtId="2" fontId="16" fillId="5" borderId="6" xfId="1" applyNumberFormat="1" applyFont="1" applyFill="1" applyBorder="1" applyAlignment="1">
      <alignment horizontal="center" vertical="center"/>
    </xf>
    <xf numFmtId="0" fontId="16" fillId="3" borderId="1" xfId="1" applyFont="1" applyFill="1" applyBorder="1" applyAlignment="1">
      <alignment vertical="center"/>
    </xf>
    <xf numFmtId="0" fontId="16" fillId="5" borderId="2" xfId="1" applyFont="1" applyFill="1" applyBorder="1" applyAlignment="1">
      <alignment vertical="center"/>
    </xf>
    <xf numFmtId="0" fontId="15" fillId="5" borderId="23" xfId="1" applyFont="1" applyFill="1" applyBorder="1" applyAlignment="1">
      <alignment vertical="center"/>
    </xf>
    <xf numFmtId="0" fontId="16" fillId="5" borderId="24" xfId="1" applyFont="1" applyFill="1" applyBorder="1" applyAlignment="1">
      <alignment vertical="center"/>
    </xf>
    <xf numFmtId="0" fontId="16" fillId="5" borderId="25" xfId="1" applyFont="1" applyFill="1" applyBorder="1" applyAlignment="1">
      <alignment horizontal="center" vertical="center"/>
    </xf>
    <xf numFmtId="0" fontId="15" fillId="3" borderId="23" xfId="4" applyFont="1" applyFill="1" applyBorder="1" applyAlignment="1">
      <alignment vertical="top"/>
    </xf>
    <xf numFmtId="0" fontId="16" fillId="3" borderId="24" xfId="1" applyFont="1" applyFill="1" applyBorder="1" applyAlignment="1">
      <alignment vertical="center"/>
    </xf>
    <xf numFmtId="1" fontId="16" fillId="5" borderId="25" xfId="1" applyNumberFormat="1" applyFont="1" applyFill="1" applyBorder="1" applyAlignment="1">
      <alignment vertical="center"/>
    </xf>
    <xf numFmtId="14" fontId="16" fillId="0" borderId="0" xfId="0" applyNumberFormat="1" applyFont="1" applyAlignment="1">
      <alignment horizontal="left" vertical="center"/>
    </xf>
    <xf numFmtId="0" fontId="16" fillId="5" borderId="4" xfId="1" applyFont="1" applyFill="1" applyBorder="1" applyAlignment="1">
      <alignment horizontal="left" vertical="center"/>
    </xf>
    <xf numFmtId="2" fontId="16" fillId="5" borderId="4" xfId="1" applyNumberFormat="1" applyFont="1" applyFill="1" applyBorder="1" applyAlignment="1">
      <alignment horizontal="left" vertical="center"/>
    </xf>
    <xf numFmtId="0" fontId="16" fillId="0" borderId="0" xfId="0" applyFont="1" applyAlignment="1">
      <alignment vertical="center"/>
    </xf>
    <xf numFmtId="166" fontId="16" fillId="0" borderId="0" xfId="0" applyNumberFormat="1" applyFont="1" applyAlignment="1">
      <alignment horizontal="left" vertical="center"/>
    </xf>
    <xf numFmtId="0" fontId="16" fillId="0" borderId="0" xfId="1" applyFont="1" applyAlignment="1">
      <alignment horizontal="left" vertical="center"/>
    </xf>
    <xf numFmtId="2" fontId="16" fillId="5" borderId="6" xfId="1" applyNumberFormat="1" applyFont="1" applyFill="1" applyBorder="1" applyAlignment="1">
      <alignment horizontal="left" vertical="center"/>
    </xf>
    <xf numFmtId="0" fontId="24" fillId="3" borderId="0" xfId="0" applyFont="1" applyFill="1"/>
    <xf numFmtId="0" fontId="1" fillId="5" borderId="0" xfId="0" applyFont="1" applyFill="1" applyAlignment="1">
      <alignment horizontal="left" vertical="top"/>
    </xf>
    <xf numFmtId="0" fontId="16" fillId="0" borderId="0" xfId="0" applyFont="1" applyAlignment="1">
      <alignment horizontal="center"/>
    </xf>
    <xf numFmtId="0" fontId="16" fillId="0" borderId="0" xfId="1" applyFont="1"/>
    <xf numFmtId="0" fontId="1" fillId="3" borderId="0" xfId="0" applyFont="1" applyFill="1"/>
    <xf numFmtId="0" fontId="1" fillId="5" borderId="0" xfId="0" applyFont="1" applyFill="1" applyAlignment="1">
      <alignment horizontal="center"/>
    </xf>
    <xf numFmtId="0" fontId="1" fillId="0" borderId="0" xfId="7" applyFont="1" applyAlignment="1">
      <alignment vertical="top"/>
    </xf>
    <xf numFmtId="0" fontId="1" fillId="0" borderId="0" xfId="7" applyFont="1" applyAlignment="1">
      <alignment horizontal="center"/>
    </xf>
    <xf numFmtId="0" fontId="16" fillId="0" borderId="0" xfId="0" applyFont="1"/>
    <xf numFmtId="0" fontId="15" fillId="3" borderId="1" xfId="1" applyFont="1" applyFill="1" applyBorder="1" applyAlignment="1">
      <alignment vertical="center"/>
    </xf>
    <xf numFmtId="0" fontId="15" fillId="3" borderId="2" xfId="1" applyFont="1" applyFill="1" applyBorder="1" applyAlignment="1">
      <alignment vertical="center"/>
    </xf>
    <xf numFmtId="0" fontId="16" fillId="0" borderId="7" xfId="1" applyFont="1" applyBorder="1" applyAlignment="1">
      <alignment vertical="center"/>
    </xf>
    <xf numFmtId="0" fontId="15" fillId="3" borderId="8" xfId="1" applyFont="1" applyFill="1" applyBorder="1" applyAlignment="1">
      <alignment vertical="center"/>
    </xf>
    <xf numFmtId="0" fontId="16" fillId="0" borderId="6" xfId="1" applyFont="1" applyBorder="1" applyAlignment="1">
      <alignment vertical="center"/>
    </xf>
    <xf numFmtId="0" fontId="18" fillId="3" borderId="9" xfId="1" applyFont="1" applyFill="1" applyBorder="1" applyAlignment="1">
      <alignment horizontal="center" vertical="center"/>
    </xf>
    <xf numFmtId="0" fontId="18" fillId="3" borderId="10" xfId="1" applyFont="1" applyFill="1" applyBorder="1" applyAlignment="1">
      <alignment horizontal="center" vertical="center"/>
    </xf>
    <xf numFmtId="0" fontId="19" fillId="3" borderId="9" xfId="1" applyFont="1" applyFill="1" applyBorder="1" applyAlignment="1">
      <alignment horizontal="center" vertical="center"/>
    </xf>
    <xf numFmtId="0" fontId="19" fillId="3" borderId="10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vertical="center"/>
    </xf>
    <xf numFmtId="0" fontId="16" fillId="3" borderId="10" xfId="1" applyFont="1" applyFill="1" applyBorder="1" applyAlignment="1">
      <alignment vertical="center"/>
    </xf>
    <xf numFmtId="0" fontId="16" fillId="3" borderId="11" xfId="1" applyFont="1" applyFill="1" applyBorder="1" applyAlignment="1">
      <alignment vertical="center"/>
    </xf>
    <xf numFmtId="0" fontId="16" fillId="3" borderId="26" xfId="1" applyFont="1" applyFill="1" applyBorder="1" applyAlignment="1">
      <alignment vertical="center"/>
    </xf>
    <xf numFmtId="0" fontId="1" fillId="3" borderId="0" xfId="7" applyFont="1" applyFill="1" applyAlignment="1">
      <alignment vertical="top"/>
    </xf>
    <xf numFmtId="0" fontId="1" fillId="5" borderId="0" xfId="1" applyFont="1" applyFill="1" applyAlignment="1">
      <alignment vertical="center"/>
    </xf>
    <xf numFmtId="0" fontId="16" fillId="3" borderId="21" xfId="1" applyFont="1" applyFill="1" applyBorder="1" applyAlignment="1">
      <alignment horizontal="right" vertical="center"/>
    </xf>
    <xf numFmtId="1" fontId="16" fillId="3" borderId="0" xfId="1" applyNumberFormat="1" applyFont="1" applyFill="1" applyAlignment="1">
      <alignment horizontal="center" vertical="center"/>
    </xf>
    <xf numFmtId="2" fontId="16" fillId="5" borderId="20" xfId="0" applyNumberFormat="1" applyFont="1" applyFill="1" applyBorder="1" applyAlignment="1">
      <alignment horizontal="center" vertical="center"/>
    </xf>
    <xf numFmtId="164" fontId="16" fillId="5" borderId="0" xfId="1" applyNumberFormat="1" applyFont="1" applyFill="1" applyAlignment="1">
      <alignment vertical="center"/>
    </xf>
    <xf numFmtId="2" fontId="16" fillId="5" borderId="0" xfId="1" applyNumberFormat="1" applyFont="1" applyFill="1" applyAlignment="1">
      <alignment vertical="center"/>
    </xf>
    <xf numFmtId="2" fontId="16" fillId="5" borderId="0" xfId="1" applyNumberFormat="1" applyFont="1" applyFill="1" applyAlignment="1">
      <alignment horizontal="center" vertical="center"/>
    </xf>
    <xf numFmtId="165" fontId="16" fillId="5" borderId="0" xfId="1" applyNumberFormat="1" applyFont="1" applyFill="1" applyAlignment="1">
      <alignment vertical="center"/>
    </xf>
    <xf numFmtId="2" fontId="16" fillId="5" borderId="3" xfId="1" applyNumberFormat="1" applyFont="1" applyFill="1" applyBorder="1" applyAlignment="1">
      <alignment vertical="center"/>
    </xf>
    <xf numFmtId="0" fontId="1" fillId="5" borderId="0" xfId="7" applyFont="1" applyFill="1" applyAlignment="1">
      <alignment horizontal="center"/>
    </xf>
    <xf numFmtId="0" fontId="15" fillId="0" borderId="0" xfId="1" applyFont="1" applyAlignment="1">
      <alignment vertical="center"/>
    </xf>
    <xf numFmtId="0" fontId="16" fillId="3" borderId="21" xfId="1" applyFont="1" applyFill="1" applyBorder="1" applyAlignment="1">
      <alignment vertical="center"/>
    </xf>
    <xf numFmtId="0" fontId="15" fillId="3" borderId="27" xfId="6" applyFont="1" applyFill="1" applyBorder="1" applyAlignment="1">
      <alignment horizontal="center" vertical="center"/>
    </xf>
    <xf numFmtId="0" fontId="16" fillId="3" borderId="28" xfId="6" applyFont="1" applyFill="1" applyBorder="1" applyAlignment="1">
      <alignment horizontal="center" vertical="center"/>
    </xf>
    <xf numFmtId="0" fontId="16" fillId="3" borderId="16" xfId="6" applyFont="1" applyFill="1" applyBorder="1" applyAlignment="1">
      <alignment horizontal="center" vertical="center"/>
    </xf>
    <xf numFmtId="2" fontId="16" fillId="5" borderId="15" xfId="6" applyNumberFormat="1" applyFont="1" applyFill="1" applyBorder="1" applyAlignment="1">
      <alignment horizontal="center" vertical="center"/>
    </xf>
    <xf numFmtId="0" fontId="17" fillId="0" borderId="3" xfId="0" applyFont="1" applyBorder="1" applyAlignment="1">
      <alignment vertical="center"/>
    </xf>
    <xf numFmtId="0" fontId="16" fillId="3" borderId="29" xfId="6" applyFont="1" applyFill="1" applyBorder="1" applyAlignment="1">
      <alignment horizontal="center" vertical="center"/>
    </xf>
    <xf numFmtId="2" fontId="16" fillId="5" borderId="30" xfId="6" applyNumberFormat="1" applyFont="1" applyFill="1" applyBorder="1" applyAlignment="1">
      <alignment horizontal="center" vertical="center"/>
    </xf>
    <xf numFmtId="0" fontId="16" fillId="3" borderId="31" xfId="6" applyFont="1" applyFill="1" applyBorder="1" applyAlignment="1">
      <alignment horizontal="center" vertical="center"/>
    </xf>
    <xf numFmtId="2" fontId="16" fillId="5" borderId="32" xfId="6" applyNumberFormat="1" applyFont="1" applyFill="1" applyBorder="1" applyAlignment="1">
      <alignment horizontal="center" vertical="center"/>
    </xf>
    <xf numFmtId="0" fontId="15" fillId="0" borderId="0" xfId="1" applyFont="1" applyAlignment="1">
      <alignment horizontal="right" vertical="center"/>
    </xf>
    <xf numFmtId="0" fontId="16" fillId="3" borderId="22" xfId="1" applyFont="1" applyFill="1" applyBorder="1" applyAlignment="1">
      <alignment vertical="center"/>
    </xf>
    <xf numFmtId="1" fontId="16" fillId="3" borderId="7" xfId="1" applyNumberFormat="1" applyFont="1" applyFill="1" applyBorder="1" applyAlignment="1">
      <alignment horizontal="center" vertical="center"/>
    </xf>
    <xf numFmtId="164" fontId="16" fillId="5" borderId="7" xfId="1" applyNumberFormat="1" applyFont="1" applyFill="1" applyBorder="1" applyAlignment="1">
      <alignment vertical="center"/>
    </xf>
    <xf numFmtId="2" fontId="16" fillId="5" borderId="7" xfId="1" applyNumberFormat="1" applyFont="1" applyFill="1" applyBorder="1" applyAlignment="1">
      <alignment vertical="center"/>
    </xf>
    <xf numFmtId="2" fontId="16" fillId="5" borderId="5" xfId="1" applyNumberFormat="1" applyFont="1" applyFill="1" applyBorder="1" applyAlignment="1">
      <alignment vertical="center"/>
    </xf>
    <xf numFmtId="165" fontId="16" fillId="5" borderId="7" xfId="1" applyNumberFormat="1" applyFont="1" applyFill="1" applyBorder="1" applyAlignment="1">
      <alignment vertical="center"/>
    </xf>
    <xf numFmtId="1" fontId="16" fillId="0" borderId="0" xfId="1" applyNumberFormat="1" applyFont="1" applyAlignment="1">
      <alignment horizontal="center" vertical="center"/>
    </xf>
    <xf numFmtId="165" fontId="16" fillId="5" borderId="6" xfId="1" applyNumberFormat="1" applyFont="1" applyFill="1" applyBorder="1" applyAlignment="1">
      <alignment vertical="center"/>
    </xf>
    <xf numFmtId="2" fontId="16" fillId="0" borderId="0" xfId="1" applyNumberFormat="1" applyFont="1" applyAlignment="1">
      <alignment vertical="center"/>
    </xf>
    <xf numFmtId="2" fontId="15" fillId="3" borderId="5" xfId="1" applyNumberFormat="1" applyFont="1" applyFill="1" applyBorder="1" applyAlignment="1">
      <alignment vertical="center"/>
    </xf>
    <xf numFmtId="0" fontId="15" fillId="3" borderId="3" xfId="0" applyFont="1" applyFill="1" applyBorder="1"/>
    <xf numFmtId="0" fontId="16" fillId="3" borderId="0" xfId="1" applyFont="1" applyFill="1" applyAlignment="1">
      <alignment horizontal="center" vertical="center"/>
    </xf>
    <xf numFmtId="0" fontId="16" fillId="4" borderId="0" xfId="1" applyFont="1" applyFill="1" applyAlignment="1">
      <alignment horizontal="left" vertical="top"/>
    </xf>
    <xf numFmtId="0" fontId="15" fillId="3" borderId="0" xfId="0" applyFont="1" applyFill="1"/>
    <xf numFmtId="0" fontId="16" fillId="3" borderId="0" xfId="4" applyFont="1" applyFill="1" applyAlignment="1">
      <alignment vertical="top"/>
    </xf>
    <xf numFmtId="0" fontId="16" fillId="3" borderId="0" xfId="4" applyFont="1" applyFill="1" applyAlignment="1">
      <alignment horizontal="center" vertical="top"/>
    </xf>
    <xf numFmtId="0" fontId="16" fillId="4" borderId="0" xfId="4" applyFont="1" applyFill="1" applyAlignment="1" applyProtection="1">
      <alignment horizontal="left" vertical="top"/>
      <protection locked="0"/>
    </xf>
    <xf numFmtId="0" fontId="1" fillId="18" borderId="37" xfId="0" applyFont="1" applyFill="1" applyBorder="1" applyAlignment="1">
      <alignment horizontal="center" vertical="center"/>
    </xf>
    <xf numFmtId="0" fontId="1" fillId="18" borderId="33" xfId="0" applyFont="1" applyFill="1" applyBorder="1" applyAlignment="1">
      <alignment horizontal="center" vertical="center"/>
    </xf>
    <xf numFmtId="0" fontId="1" fillId="18" borderId="38" xfId="0" applyFont="1" applyFill="1" applyBorder="1" applyAlignment="1">
      <alignment horizontal="center" vertical="center"/>
    </xf>
    <xf numFmtId="0" fontId="1" fillId="18" borderId="37" xfId="0" applyFont="1" applyFill="1" applyBorder="1" applyAlignment="1">
      <alignment horizontal="center"/>
    </xf>
    <xf numFmtId="0" fontId="1" fillId="18" borderId="33" xfId="0" applyFont="1" applyFill="1" applyBorder="1" applyAlignment="1">
      <alignment horizontal="center"/>
    </xf>
    <xf numFmtId="0" fontId="1" fillId="18" borderId="38" xfId="0" applyFont="1" applyFill="1" applyBorder="1" applyAlignment="1">
      <alignment horizontal="center"/>
    </xf>
    <xf numFmtId="0" fontId="1" fillId="0" borderId="33" xfId="0" applyFont="1" applyBorder="1" applyAlignment="1">
      <alignment horizontal="left" vertical="top"/>
    </xf>
    <xf numFmtId="0" fontId="1" fillId="0" borderId="33" xfId="0" applyFont="1" applyBorder="1" applyAlignment="1">
      <alignment horizontal="left"/>
    </xf>
    <xf numFmtId="0" fontId="31" fillId="0" borderId="0" xfId="0" applyFont="1"/>
    <xf numFmtId="0" fontId="1" fillId="0" borderId="34" xfId="0" applyFont="1" applyBorder="1"/>
    <xf numFmtId="0" fontId="3" fillId="0" borderId="0" xfId="0" applyFont="1"/>
    <xf numFmtId="14" fontId="3" fillId="0" borderId="0" xfId="0" applyNumberFormat="1" applyFont="1" applyAlignment="1">
      <alignment horizontal="left"/>
    </xf>
    <xf numFmtId="0" fontId="3" fillId="0" borderId="0" xfId="0" applyFont="1" applyAlignment="1">
      <alignment horizontal="right"/>
    </xf>
    <xf numFmtId="22" fontId="3" fillId="0" borderId="0" xfId="0" applyNumberFormat="1" applyFont="1"/>
    <xf numFmtId="0" fontId="3" fillId="0" borderId="19" xfId="0" applyFont="1" applyBorder="1"/>
    <xf numFmtId="0" fontId="1" fillId="0" borderId="19" xfId="0" applyFont="1" applyBorder="1"/>
    <xf numFmtId="14" fontId="3" fillId="0" borderId="19" xfId="0" applyNumberFormat="1" applyFont="1" applyBorder="1" applyAlignment="1">
      <alignment horizontal="left"/>
    </xf>
    <xf numFmtId="0" fontId="3" fillId="0" borderId="19" xfId="0" applyFont="1" applyBorder="1" applyAlignment="1">
      <alignment horizontal="right"/>
    </xf>
    <xf numFmtId="0" fontId="1" fillId="5" borderId="0" xfId="0" applyFont="1" applyFill="1"/>
    <xf numFmtId="0" fontId="16" fillId="3" borderId="0" xfId="6" applyFont="1" applyFill="1" applyAlignment="1">
      <alignment vertical="center"/>
    </xf>
    <xf numFmtId="0" fontId="16" fillId="0" borderId="0" xfId="6" applyFont="1" applyAlignment="1">
      <alignment vertical="center"/>
    </xf>
    <xf numFmtId="0" fontId="1" fillId="0" borderId="0" xfId="2" applyFont="1" applyAlignment="1">
      <alignment horizontal="right"/>
    </xf>
    <xf numFmtId="0" fontId="7" fillId="0" borderId="33" xfId="0" applyFont="1" applyBorder="1" applyAlignment="1">
      <alignment horizontal="left" vertical="top" wrapText="1"/>
    </xf>
    <xf numFmtId="14" fontId="1" fillId="0" borderId="33" xfId="0" applyNumberFormat="1" applyFont="1" applyBorder="1" applyAlignment="1">
      <alignment horizontal="left" vertical="top" wrapText="1"/>
    </xf>
    <xf numFmtId="14" fontId="16" fillId="0" borderId="33" xfId="0" quotePrefix="1" applyNumberFormat="1" applyFont="1" applyBorder="1" applyAlignment="1">
      <alignment horizontal="left" vertical="top" wrapText="1"/>
    </xf>
    <xf numFmtId="14" fontId="1" fillId="0" borderId="33" xfId="0" applyNumberFormat="1" applyFont="1" applyBorder="1" applyAlignment="1">
      <alignment horizontal="left" vertical="top"/>
    </xf>
    <xf numFmtId="0" fontId="1" fillId="0" borderId="33" xfId="0" applyFont="1" applyBorder="1" applyAlignment="1">
      <alignment wrapText="1"/>
    </xf>
    <xf numFmtId="0" fontId="1" fillId="0" borderId="33" xfId="0" applyFont="1" applyBorder="1" applyAlignment="1">
      <alignment vertical="top" wrapText="1"/>
    </xf>
    <xf numFmtId="0" fontId="1" fillId="18" borderId="41" xfId="0" applyFont="1" applyFill="1" applyBorder="1" applyAlignment="1">
      <alignment horizontal="center"/>
    </xf>
    <xf numFmtId="0" fontId="1" fillId="18" borderId="42" xfId="0" applyFont="1" applyFill="1" applyBorder="1" applyAlignment="1">
      <alignment horizontal="center"/>
    </xf>
    <xf numFmtId="0" fontId="1" fillId="18" borderId="43" xfId="0" applyFont="1" applyFill="1" applyBorder="1" applyAlignment="1">
      <alignment horizontal="center"/>
    </xf>
    <xf numFmtId="0" fontId="1" fillId="0" borderId="33" xfId="0" quotePrefix="1" applyFont="1" applyBorder="1" applyAlignment="1">
      <alignment vertical="top" wrapText="1"/>
    </xf>
    <xf numFmtId="2" fontId="16" fillId="5" borderId="0" xfId="0" applyNumberFormat="1" applyFont="1" applyFill="1" applyAlignment="1">
      <alignment horizontal="left" vertical="center"/>
    </xf>
    <xf numFmtId="0" fontId="1" fillId="0" borderId="33" xfId="0" applyFont="1" applyBorder="1" applyAlignment="1">
      <alignment vertical="top"/>
    </xf>
    <xf numFmtId="2" fontId="16" fillId="5" borderId="4" xfId="0" applyNumberFormat="1" applyFont="1" applyFill="1" applyBorder="1" applyAlignment="1">
      <alignment horizontal="center" vertical="center"/>
    </xf>
    <xf numFmtId="2" fontId="16" fillId="5" borderId="6" xfId="0" applyNumberFormat="1" applyFont="1" applyFill="1" applyBorder="1" applyAlignment="1">
      <alignment horizontal="center" vertical="center"/>
    </xf>
    <xf numFmtId="164" fontId="16" fillId="5" borderId="5" xfId="1" applyNumberFormat="1" applyFont="1" applyFill="1" applyBorder="1" applyAlignment="1">
      <alignment vertical="center"/>
    </xf>
    <xf numFmtId="1" fontId="16" fillId="4" borderId="0" xfId="0" applyNumberFormat="1" applyFont="1" applyFill="1" applyAlignment="1" applyProtection="1">
      <alignment horizontal="left" vertical="center"/>
      <protection locked="0"/>
    </xf>
    <xf numFmtId="14" fontId="30" fillId="0" borderId="33" xfId="0" applyNumberFormat="1" applyFont="1" applyBorder="1" applyAlignment="1">
      <alignment horizontal="left" vertical="top"/>
    </xf>
    <xf numFmtId="0" fontId="30" fillId="0" borderId="33" xfId="0" applyFont="1" applyBorder="1" applyAlignment="1">
      <alignment horizontal="left" vertical="top"/>
    </xf>
    <xf numFmtId="0" fontId="30" fillId="0" borderId="33" xfId="0" quotePrefix="1" applyFont="1" applyBorder="1" applyAlignment="1">
      <alignment vertical="top" wrapText="1"/>
    </xf>
    <xf numFmtId="0" fontId="22" fillId="0" borderId="33" xfId="5" applyBorder="1" applyAlignment="1" applyProtection="1">
      <alignment horizontal="left" vertical="top" wrapText="1"/>
    </xf>
    <xf numFmtId="0" fontId="16" fillId="4" borderId="7" xfId="4" applyFont="1" applyFill="1" applyBorder="1" applyAlignment="1" applyProtection="1">
      <alignment horizontal="left" vertical="top"/>
      <protection locked="0"/>
    </xf>
    <xf numFmtId="0" fontId="29" fillId="17" borderId="0" xfId="0" applyFont="1" applyFill="1" applyAlignment="1">
      <alignment horizontal="center"/>
    </xf>
    <xf numFmtId="0" fontId="6" fillId="0" borderId="0" xfId="2" applyFont="1" applyAlignment="1">
      <alignment horizontal="left" vertical="top" wrapText="1"/>
    </xf>
    <xf numFmtId="0" fontId="15" fillId="19" borderId="0" xfId="0" applyFont="1" applyFill="1" applyAlignment="1" applyProtection="1">
      <alignment horizontal="left"/>
      <protection locked="0"/>
    </xf>
    <xf numFmtId="0" fontId="0" fillId="0" borderId="0" xfId="0" applyAlignment="1">
      <alignment horizontal="left" vertical="top" wrapText="1"/>
    </xf>
    <xf numFmtId="0" fontId="27" fillId="11" borderId="35" xfId="0" applyFont="1" applyFill="1" applyBorder="1" applyAlignment="1">
      <alignment horizontal="center"/>
    </xf>
    <xf numFmtId="0" fontId="27" fillId="11" borderId="32" xfId="0" applyFont="1" applyFill="1" applyBorder="1" applyAlignment="1">
      <alignment horizontal="center"/>
    </xf>
    <xf numFmtId="0" fontId="27" fillId="12" borderId="35" xfId="0" applyFont="1" applyFill="1" applyBorder="1" applyAlignment="1">
      <alignment horizontal="center"/>
    </xf>
    <xf numFmtId="0" fontId="26" fillId="9" borderId="0" xfId="0" applyFont="1" applyFill="1" applyAlignment="1">
      <alignment horizontal="center"/>
    </xf>
    <xf numFmtId="0" fontId="26" fillId="9" borderId="15" xfId="0" applyFont="1" applyFill="1" applyBorder="1" applyAlignment="1">
      <alignment horizontal="center"/>
    </xf>
    <xf numFmtId="0" fontId="26" fillId="10" borderId="0" xfId="0" applyFont="1" applyFill="1" applyAlignment="1">
      <alignment horizontal="center"/>
    </xf>
  </cellXfs>
  <cellStyles count="8">
    <cellStyle name="Lien hypertexte" xfId="5" builtinId="8"/>
    <cellStyle name="Normal" xfId="0" builtinId="0"/>
    <cellStyle name="Normal_MAAG13.XLS" xfId="1" xr:uid="{00000000-0005-0000-0000-000001000000}"/>
    <cellStyle name="Normal_MAAG13R.XLS" xfId="2" xr:uid="{00000000-0005-0000-0000-000002000000}"/>
    <cellStyle name="Normal_RAPVAST14C" xfId="3" xr:uid="{00000000-0005-0000-0000-000003000000}"/>
    <cellStyle name="Normal_VAST14C" xfId="4" xr:uid="{00000000-0005-0000-0000-000004000000}"/>
    <cellStyle name="Normal_VLOEIB13C" xfId="6" xr:uid="{00000000-0005-0000-0000-000005000000}"/>
    <cellStyle name="Standaard 2" xfId="7" xr:uid="{00000000-0005-0000-0000-000007000000}"/>
  </cellStyles>
  <dxfs count="8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C3FD75"/>
      <color rgb="FFCCFFCC"/>
      <color rgb="FFCCFFFF"/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564649964553"/>
          <c:y val="0.10877230253667344"/>
          <c:w val="0.72392782609564299"/>
          <c:h val="0.64210746336164803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VAST13C!$J$18:$J$34</c:f>
              <c:numCache>
                <c:formatCode>0.00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57B-9A4D-7C929B0A3FA1}"/>
            </c:ext>
          </c:extLst>
        </c:ser>
        <c:ser>
          <c:idx val="1"/>
          <c:order val="1"/>
          <c:tx>
            <c:v>b-model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VAST13C!$L$18:$L$34</c:f>
              <c:numCache>
                <c:formatCode>0.00</c:formatCode>
                <c:ptCount val="17"/>
                <c:pt idx="0">
                  <c:v>0</c:v>
                </c:pt>
                <c:pt idx="1">
                  <c:v>2.9982361065008138</c:v>
                </c:pt>
                <c:pt idx="2">
                  <c:v>7.8780066438903544</c:v>
                </c:pt>
                <c:pt idx="3">
                  <c:v>12.222931358326123</c:v>
                </c:pt>
                <c:pt idx="4">
                  <c:v>15.322688817602016</c:v>
                </c:pt>
                <c:pt idx="5">
                  <c:v>17.122328929122961</c:v>
                </c:pt>
                <c:pt idx="6">
                  <c:v>17.817633485588754</c:v>
                </c:pt>
                <c:pt idx="7">
                  <c:v>17.673086192637165</c:v>
                </c:pt>
                <c:pt idx="8">
                  <c:v>16.942349421947068</c:v>
                </c:pt>
                <c:pt idx="9">
                  <c:v>15.838160657812155</c:v>
                </c:pt>
                <c:pt idx="10">
                  <c:v>14.525624230637904</c:v>
                </c:pt>
                <c:pt idx="11">
                  <c:v>13.125792106459498</c:v>
                </c:pt>
                <c:pt idx="12">
                  <c:v>11.722995370325124</c:v>
                </c:pt>
                <c:pt idx="13">
                  <c:v>10.372796766709264</c:v>
                </c:pt>
                <c:pt idx="14">
                  <c:v>9.1091975669825214</c:v>
                </c:pt>
                <c:pt idx="15">
                  <c:v>7.9506219974690122</c:v>
                </c:pt>
                <c:pt idx="16">
                  <c:v>6.9046291990049635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F5-457B-9A4D-7C929B0A3FA1}"/>
            </c:ext>
          </c:extLst>
        </c:ser>
        <c:ser>
          <c:idx val="2"/>
          <c:order val="2"/>
          <c:tx>
            <c:v>w-model</c:v>
          </c:tx>
          <c:spPr>
            <a:ln w="3175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VAST13C!$O$18:$O$34</c:f>
              <c:numCache>
                <c:formatCode>0.00</c:formatCode>
                <c:ptCount val="17"/>
                <c:pt idx="0">
                  <c:v>0</c:v>
                </c:pt>
                <c:pt idx="1">
                  <c:v>3.2221673323437443</c:v>
                </c:pt>
                <c:pt idx="2">
                  <c:v>7.9776392726497125</c:v>
                </c:pt>
                <c:pt idx="3">
                  <c:v>12.153345328758846</c:v>
                </c:pt>
                <c:pt idx="4">
                  <c:v>15.176388531265269</c:v>
                </c:pt>
                <c:pt idx="5">
                  <c:v>16.995216173086241</c:v>
                </c:pt>
                <c:pt idx="6">
                  <c:v>17.764689332356831</c:v>
                </c:pt>
                <c:pt idx="7">
                  <c:v>17.706632283474423</c:v>
                </c:pt>
                <c:pt idx="8">
                  <c:v>17.045037155145451</c:v>
                </c:pt>
                <c:pt idx="9">
                  <c:v>15.977710012266769</c:v>
                </c:pt>
                <c:pt idx="10">
                  <c:v>14.666414201988273</c:v>
                </c:pt>
                <c:pt idx="11">
                  <c:v>13.236259612989981</c:v>
                </c:pt>
                <c:pt idx="12">
                  <c:v>11.779384740924993</c:v>
                </c:pt>
                <c:pt idx="13">
                  <c:v>10.360270185414985</c:v>
                </c:pt>
                <c:pt idx="14">
                  <c:v>9.0212910704438922</c:v>
                </c:pt>
                <c:pt idx="15">
                  <c:v>7.7878277603475254</c:v>
                </c:pt>
                <c:pt idx="16">
                  <c:v>6.6726510923304163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F5-457B-9A4D-7C929B0A3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331976"/>
        <c:axId val="293332368"/>
      </c:scatterChart>
      <c:valAx>
        <c:axId val="293331976"/>
        <c:scaling>
          <c:orientation val="minMax"/>
        </c:scaling>
        <c:delete val="0"/>
        <c:axPos val="b"/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93332368"/>
        <c:crosses val="autoZero"/>
        <c:crossBetween val="midCat"/>
      </c:valAx>
      <c:valAx>
        <c:axId val="293332368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933319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39076480470615"/>
          <c:y val="0.4210541050789724"/>
          <c:w val="0.17791453982362729"/>
          <c:h val="0.203509508679836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Pagina &amp;P</c:oddFooter>
    </c:headerFooter>
    <c:pageMargins b="1" l="0.75000000000000366" r="0.75000000000000366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85656213704993"/>
          <c:y val="7.4866505646582884E-2"/>
          <c:w val="0.74137533875339168"/>
          <c:h val="0.6927720385674978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VAST13C!$J$18:$J$34</c:f>
              <c:numCache>
                <c:formatCode>0.00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72-407A-B984-B796B35DE01B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VAST13C!$R$18:$R$34</c:f>
              <c:numCache>
                <c:formatCode>0.00</c:formatCode>
                <c:ptCount val="17"/>
                <c:pt idx="0">
                  <c:v>0</c:v>
                </c:pt>
                <c:pt idx="1">
                  <c:v>3.2221673323437443</c:v>
                </c:pt>
                <c:pt idx="2">
                  <c:v>7.9776392726497125</c:v>
                </c:pt>
                <c:pt idx="3">
                  <c:v>12.153345328758846</c:v>
                </c:pt>
                <c:pt idx="4">
                  <c:v>15.176388531265269</c:v>
                </c:pt>
                <c:pt idx="5">
                  <c:v>16.995216173086241</c:v>
                </c:pt>
                <c:pt idx="6">
                  <c:v>17.764689332356831</c:v>
                </c:pt>
                <c:pt idx="7">
                  <c:v>17.706632283474423</c:v>
                </c:pt>
                <c:pt idx="8">
                  <c:v>17.045037155145451</c:v>
                </c:pt>
                <c:pt idx="9">
                  <c:v>15.977710012266769</c:v>
                </c:pt>
                <c:pt idx="10">
                  <c:v>14.666414201988273</c:v>
                </c:pt>
                <c:pt idx="11">
                  <c:v>13.236259612989981</c:v>
                </c:pt>
                <c:pt idx="12">
                  <c:v>11.779384740924993</c:v>
                </c:pt>
                <c:pt idx="13">
                  <c:v>10.360270185414985</c:v>
                </c:pt>
                <c:pt idx="14">
                  <c:v>9.0212910704438922</c:v>
                </c:pt>
                <c:pt idx="15">
                  <c:v>7.7878277603475254</c:v>
                </c:pt>
                <c:pt idx="16">
                  <c:v>6.6726510923304163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72-407A-B984-B796B35DE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80488"/>
        <c:axId val="357880880"/>
      </c:scatterChart>
      <c:valAx>
        <c:axId val="357880488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temps (min)</a:t>
                </a:r>
              </a:p>
            </c:rich>
          </c:tx>
          <c:layout>
            <c:manualLayout>
              <c:xMode val="edge"/>
              <c:yMode val="edge"/>
              <c:x val="0.44680963266688439"/>
              <c:y val="0.88817922349870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57880880"/>
        <c:crosses val="autoZero"/>
        <c:crossBetween val="midCat"/>
        <c:majorUnit val="60"/>
      </c:valAx>
      <c:valAx>
        <c:axId val="35788088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% dose/h</a:t>
                </a:r>
              </a:p>
            </c:rich>
          </c:tx>
          <c:layout>
            <c:manualLayout>
              <c:xMode val="edge"/>
              <c:yMode val="edge"/>
              <c:x val="2.1276533981639402E-2"/>
              <c:y val="0.28342326061701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578804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1" l="0.75000000000000366" r="0.75000000000000366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7980061943493"/>
          <c:y val="6.878342418684015E-2"/>
          <c:w val="0.74143389469609355"/>
          <c:h val="0.6937184343434389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VAST13C!$K$18:$K$34</c:f>
              <c:numCache>
                <c:formatCode>0.00</c:formatCode>
                <c:ptCount val="17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E2-4ED3-AFA5-877FDB2B987F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VAST13C!$S$18:$S$34</c:f>
              <c:numCache>
                <c:formatCode>0.00</c:formatCode>
                <c:ptCount val="17"/>
                <c:pt idx="0">
                  <c:v>0</c:v>
                </c:pt>
                <c:pt idx="1">
                  <c:v>0.40277091654296804</c:v>
                </c:pt>
                <c:pt idx="2">
                  <c:v>1.8027467421671501</c:v>
                </c:pt>
                <c:pt idx="3">
                  <c:v>4.3191198173432195</c:v>
                </c:pt>
                <c:pt idx="4">
                  <c:v>7.7353365498462336</c:v>
                </c:pt>
                <c:pt idx="5">
                  <c:v>11.756787137890171</c:v>
                </c:pt>
                <c:pt idx="6">
                  <c:v>16.101775326070555</c:v>
                </c:pt>
                <c:pt idx="7">
                  <c:v>20.535690528049464</c:v>
                </c:pt>
                <c:pt idx="8">
                  <c:v>24.879649207876948</c:v>
                </c:pt>
                <c:pt idx="9">
                  <c:v>29.007492603803477</c:v>
                </c:pt>
                <c:pt idx="10">
                  <c:v>32.838008130585358</c:v>
                </c:pt>
                <c:pt idx="11">
                  <c:v>36.325842357457638</c:v>
                </c:pt>
                <c:pt idx="12">
                  <c:v>39.452797901697011</c:v>
                </c:pt>
                <c:pt idx="13">
                  <c:v>42.220254767489507</c:v>
                </c:pt>
                <c:pt idx="14">
                  <c:v>44.642949924471864</c:v>
                </c:pt>
                <c:pt idx="15">
                  <c:v>46.744089778320792</c:v>
                </c:pt>
                <c:pt idx="16">
                  <c:v>48.551649634905537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E2-4ED3-AFA5-877FDB2B9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457832"/>
        <c:axId val="458458224"/>
      </c:scatterChart>
      <c:valAx>
        <c:axId val="458457832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temps (min)</a:t>
                </a:r>
              </a:p>
            </c:rich>
          </c:tx>
          <c:layout>
            <c:manualLayout>
              <c:xMode val="edge"/>
              <c:yMode val="edge"/>
              <c:x val="0.43589922227463701"/>
              <c:y val="0.882307416490974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58458224"/>
        <c:crosses val="autoZero"/>
        <c:crossBetween val="midCat"/>
        <c:majorUnit val="60"/>
      </c:valAx>
      <c:valAx>
        <c:axId val="45845822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Cumul. % dose</a:t>
                </a:r>
              </a:p>
            </c:rich>
          </c:tx>
          <c:layout>
            <c:manualLayout>
              <c:xMode val="edge"/>
              <c:yMode val="edge"/>
              <c:x val="2.1367974164519802E-2"/>
              <c:y val="0.2063502717897967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584578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1" l="0.75000000000000366" r="0.75000000000000366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85656213704993"/>
          <c:y val="7.4866505646582884E-2"/>
          <c:w val="0.7413753387533919"/>
          <c:h val="0.6927720385674980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VAST13C!$J$18:$J$34</c:f>
              <c:numCache>
                <c:formatCode>0.00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7F-4D10-B853-C4CD9EAA000E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VAST13C!$R$18:$R$34</c:f>
              <c:numCache>
                <c:formatCode>0.00</c:formatCode>
                <c:ptCount val="17"/>
                <c:pt idx="0">
                  <c:v>0</c:v>
                </c:pt>
                <c:pt idx="1">
                  <c:v>3.2221673323437443</c:v>
                </c:pt>
                <c:pt idx="2">
                  <c:v>7.9776392726497125</c:v>
                </c:pt>
                <c:pt idx="3">
                  <c:v>12.153345328758846</c:v>
                </c:pt>
                <c:pt idx="4">
                  <c:v>15.176388531265269</c:v>
                </c:pt>
                <c:pt idx="5">
                  <c:v>16.995216173086241</c:v>
                </c:pt>
                <c:pt idx="6">
                  <c:v>17.764689332356831</c:v>
                </c:pt>
                <c:pt idx="7">
                  <c:v>17.706632283474423</c:v>
                </c:pt>
                <c:pt idx="8">
                  <c:v>17.045037155145451</c:v>
                </c:pt>
                <c:pt idx="9">
                  <c:v>15.977710012266769</c:v>
                </c:pt>
                <c:pt idx="10">
                  <c:v>14.666414201988273</c:v>
                </c:pt>
                <c:pt idx="11">
                  <c:v>13.236259612989981</c:v>
                </c:pt>
                <c:pt idx="12">
                  <c:v>11.779384740924993</c:v>
                </c:pt>
                <c:pt idx="13">
                  <c:v>10.360270185414985</c:v>
                </c:pt>
                <c:pt idx="14">
                  <c:v>9.0212910704438922</c:v>
                </c:pt>
                <c:pt idx="15">
                  <c:v>7.7878277603475254</c:v>
                </c:pt>
                <c:pt idx="16">
                  <c:v>6.6726510923304163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7F-4D10-B853-C4CD9EAA0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459008"/>
        <c:axId val="458459400"/>
      </c:scatterChart>
      <c:valAx>
        <c:axId val="458459008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temps (min)</a:t>
                </a:r>
              </a:p>
            </c:rich>
          </c:tx>
          <c:layout>
            <c:manualLayout>
              <c:xMode val="edge"/>
              <c:yMode val="edge"/>
              <c:x val="0.44680963266688439"/>
              <c:y val="0.8881792234987069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58459400"/>
        <c:crosses val="autoZero"/>
        <c:crossBetween val="midCat"/>
        <c:majorUnit val="60"/>
      </c:valAx>
      <c:valAx>
        <c:axId val="45845940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% dose/h</a:t>
                </a:r>
              </a:p>
            </c:rich>
          </c:tx>
          <c:layout>
            <c:manualLayout>
              <c:xMode val="edge"/>
              <c:yMode val="edge"/>
              <c:x val="2.1276533981639402E-2"/>
              <c:y val="0.2834232606170151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584590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1" l="0.75000000000000389" r="0.75000000000000389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79800619434941"/>
          <c:y val="6.8783424186840178E-2"/>
          <c:w val="0.74143389469609378"/>
          <c:h val="0.6937184343434391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VAST13C!$K$18:$K$34</c:f>
              <c:numCache>
                <c:formatCode>0.00</c:formatCode>
                <c:ptCount val="17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BC-4F83-B395-AEBAD47D2384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VAST13C!$S$18:$S$34</c:f>
              <c:numCache>
                <c:formatCode>0.00</c:formatCode>
                <c:ptCount val="17"/>
                <c:pt idx="0">
                  <c:v>0</c:v>
                </c:pt>
                <c:pt idx="1">
                  <c:v>0.40277091654296804</c:v>
                </c:pt>
                <c:pt idx="2">
                  <c:v>1.8027467421671501</c:v>
                </c:pt>
                <c:pt idx="3">
                  <c:v>4.3191198173432195</c:v>
                </c:pt>
                <c:pt idx="4">
                  <c:v>7.7353365498462336</c:v>
                </c:pt>
                <c:pt idx="5">
                  <c:v>11.756787137890171</c:v>
                </c:pt>
                <c:pt idx="6">
                  <c:v>16.101775326070555</c:v>
                </c:pt>
                <c:pt idx="7">
                  <c:v>20.535690528049464</c:v>
                </c:pt>
                <c:pt idx="8">
                  <c:v>24.879649207876948</c:v>
                </c:pt>
                <c:pt idx="9">
                  <c:v>29.007492603803477</c:v>
                </c:pt>
                <c:pt idx="10">
                  <c:v>32.838008130585358</c:v>
                </c:pt>
                <c:pt idx="11">
                  <c:v>36.325842357457638</c:v>
                </c:pt>
                <c:pt idx="12">
                  <c:v>39.452797901697011</c:v>
                </c:pt>
                <c:pt idx="13">
                  <c:v>42.220254767489507</c:v>
                </c:pt>
                <c:pt idx="14">
                  <c:v>44.642949924471864</c:v>
                </c:pt>
                <c:pt idx="15">
                  <c:v>46.744089778320792</c:v>
                </c:pt>
                <c:pt idx="16">
                  <c:v>48.551649634905537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BC-4F83-B395-AEBAD47D2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583264"/>
        <c:axId val="362583656"/>
      </c:scatterChart>
      <c:valAx>
        <c:axId val="362583264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temps (min)</a:t>
                </a:r>
              </a:p>
            </c:rich>
          </c:tx>
          <c:layout>
            <c:manualLayout>
              <c:xMode val="edge"/>
              <c:yMode val="edge"/>
              <c:x val="0.43589922227463712"/>
              <c:y val="0.88230741649097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62583656"/>
        <c:crosses val="autoZero"/>
        <c:crossBetween val="midCat"/>
        <c:majorUnit val="60"/>
      </c:valAx>
      <c:valAx>
        <c:axId val="36258365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Cumul. % dose</a:t>
                </a:r>
              </a:p>
            </c:rich>
          </c:tx>
          <c:layout>
            <c:manualLayout>
              <c:xMode val="edge"/>
              <c:yMode val="edge"/>
              <c:x val="2.1367974164519802E-2"/>
              <c:y val="0.2063502717897967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625832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1" l="0.75000000000000389" r="0.75000000000000389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Patienten_13C!$G$1" lockText="1" noThreeD="1"/>
</file>

<file path=xl/ctrlProps/ctrlProp5.xml><?xml version="1.0" encoding="utf-8"?>
<formControlPr xmlns="http://schemas.microsoft.com/office/spreadsheetml/2009/9/main" objectType="CheckBox" fmlaLink="Patienten_13C!$G$2" lockText="1" noThreeD="1"/>
</file>

<file path=xl/ctrlProps/ctrlProp6.xml><?xml version="1.0" encoding="utf-8"?>
<formControlPr xmlns="http://schemas.microsoft.com/office/spreadsheetml/2009/9/main" objectType="CheckBox" fmlaLink="Patienten_13C!$G$3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647700</xdr:colOff>
      <xdr:row>8</xdr:row>
      <xdr:rowOff>38100</xdr:rowOff>
    </xdr:from>
    <xdr:to>
      <xdr:col>7</xdr:col>
      <xdr:colOff>685800</xdr:colOff>
      <xdr:row>8</xdr:row>
      <xdr:rowOff>47625</xdr:rowOff>
    </xdr:to>
    <xdr:sp macro="" textlink="">
      <xdr:nvSpPr>
        <xdr:cNvPr id="7782" name="Drawing 9">
          <a:extLst>
            <a:ext uri="{FF2B5EF4-FFF2-40B4-BE49-F238E27FC236}">
              <a16:creationId xmlns:a16="http://schemas.microsoft.com/office/drawing/2014/main" id="{00000000-0008-0000-0100-0000661E0000}"/>
            </a:ext>
          </a:extLst>
        </xdr:cNvPr>
        <xdr:cNvSpPr>
          <a:spLocks/>
        </xdr:cNvSpPr>
      </xdr:nvSpPr>
      <xdr:spPr bwMode="auto">
        <a:xfrm>
          <a:off x="6724650" y="1552575"/>
          <a:ext cx="38100" cy="9525"/>
        </a:xfrm>
        <a:custGeom>
          <a:avLst/>
          <a:gdLst>
            <a:gd name="T0" fmla="*/ 0 w 16384"/>
            <a:gd name="T1" fmla="*/ 0 h 16384"/>
            <a:gd name="T2" fmla="*/ 0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126999</xdr:colOff>
      <xdr:row>1</xdr:row>
      <xdr:rowOff>84668</xdr:rowOff>
    </xdr:from>
    <xdr:to>
      <xdr:col>19</xdr:col>
      <xdr:colOff>63499</xdr:colOff>
      <xdr:row>14</xdr:row>
      <xdr:rowOff>129648</xdr:rowOff>
    </xdr:to>
    <xdr:graphicFrame macro="">
      <xdr:nvGraphicFramePr>
        <xdr:cNvPr id="7783" name="Chart 15">
          <a:extLst>
            <a:ext uri="{FF2B5EF4-FFF2-40B4-BE49-F238E27FC236}">
              <a16:creationId xmlns:a16="http://schemas.microsoft.com/office/drawing/2014/main" id="{00000000-0008-0000-0100-0000671E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1476375</xdr:colOff>
          <xdr:row>5</xdr:row>
          <xdr:rowOff>66675</xdr:rowOff>
        </xdr:from>
        <xdr:to>
          <xdr:col>3</xdr:col>
          <xdr:colOff>257175</xdr:colOff>
          <xdr:row>8</xdr:row>
          <xdr:rowOff>142875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BE" sz="1200" b="1" i="0" u="none" strike="noStrike" baseline="0">
                  <a:solidFill>
                    <a:srgbClr val="000000"/>
                  </a:solidFill>
                  <a:latin typeface="MS Sans Serif"/>
                </a:rPr>
                <a:t>Appliquer</a:t>
              </a:r>
            </a:p>
            <a:p>
              <a:pPr algn="ctr" rtl="0">
                <a:defRPr sz="1000"/>
              </a:pPr>
              <a:r>
                <a:rPr lang="fr-BE" sz="1200" b="1" i="0" u="none" strike="noStrike" baseline="0">
                  <a:solidFill>
                    <a:srgbClr val="000000"/>
                  </a:solidFill>
                  <a:latin typeface="MS Sans Serif"/>
                </a:rPr>
                <a:t>les modèles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</xdr:row>
          <xdr:rowOff>28575</xdr:rowOff>
        </xdr:from>
        <xdr:to>
          <xdr:col>3</xdr:col>
          <xdr:colOff>219075</xdr:colOff>
          <xdr:row>3</xdr:row>
          <xdr:rowOff>180975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B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 le</a:t>
              </a:r>
            </a:p>
            <a:p>
              <a:pPr algn="ctr" rtl="0">
                <a:defRPr sz="1000"/>
              </a:pPr>
              <a:r>
                <a:rPr lang="fr-B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formulaire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47625</xdr:rowOff>
        </xdr:from>
        <xdr:to>
          <xdr:col>0</xdr:col>
          <xdr:colOff>304800</xdr:colOff>
          <xdr:row>38</xdr:row>
          <xdr:rowOff>76200</xdr:rowOff>
        </xdr:to>
        <xdr:sp macro="" textlink="">
          <xdr:nvSpPr>
            <xdr:cNvPr id="7187" name="Check Box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1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28575</xdr:rowOff>
        </xdr:from>
        <xdr:to>
          <xdr:col>0</xdr:col>
          <xdr:colOff>304800</xdr:colOff>
          <xdr:row>39</xdr:row>
          <xdr:rowOff>66675</xdr:rowOff>
        </xdr:to>
        <xdr:sp macro="" textlink="">
          <xdr:nvSpPr>
            <xdr:cNvPr id="7188" name="Check Box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1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38100</xdr:rowOff>
        </xdr:from>
        <xdr:to>
          <xdr:col>0</xdr:col>
          <xdr:colOff>304800</xdr:colOff>
          <xdr:row>40</xdr:row>
          <xdr:rowOff>66675</xdr:rowOff>
        </xdr:to>
        <xdr:sp macro="" textlink="">
          <xdr:nvSpPr>
            <xdr:cNvPr id="7189" name="Check Box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</xdr:col>
      <xdr:colOff>280147</xdr:colOff>
      <xdr:row>34</xdr:row>
      <xdr:rowOff>11207</xdr:rowOff>
    </xdr:from>
    <xdr:to>
      <xdr:col>4</xdr:col>
      <xdr:colOff>424019</xdr:colOff>
      <xdr:row>39</xdr:row>
      <xdr:rowOff>174416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7912" y="6835589"/>
          <a:ext cx="3124636" cy="11717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17</xdr:row>
      <xdr:rowOff>0</xdr:rowOff>
    </xdr:from>
    <xdr:to>
      <xdr:col>5</xdr:col>
      <xdr:colOff>150225</xdr:colOff>
      <xdr:row>27</xdr:row>
      <xdr:rowOff>104775</xdr:rowOff>
    </xdr:to>
    <xdr:graphicFrame macro="">
      <xdr:nvGraphicFramePr>
        <xdr:cNvPr id="13364" name="Chart 4">
          <a:extLst>
            <a:ext uri="{FF2B5EF4-FFF2-40B4-BE49-F238E27FC236}">
              <a16:creationId xmlns:a16="http://schemas.microsoft.com/office/drawing/2014/main" id="{00000000-0008-0000-0300-0000343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257174</xdr:colOff>
      <xdr:row>17</xdr:row>
      <xdr:rowOff>0</xdr:rowOff>
    </xdr:from>
    <xdr:to>
      <xdr:col>7</xdr:col>
      <xdr:colOff>721724</xdr:colOff>
      <xdr:row>27</xdr:row>
      <xdr:rowOff>104775</xdr:rowOff>
    </xdr:to>
    <xdr:graphicFrame macro="">
      <xdr:nvGraphicFramePr>
        <xdr:cNvPr id="13365" name="Chart 5">
          <a:extLst>
            <a:ext uri="{FF2B5EF4-FFF2-40B4-BE49-F238E27FC236}">
              <a16:creationId xmlns:a16="http://schemas.microsoft.com/office/drawing/2014/main" id="{00000000-0008-0000-0300-0000353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66675</xdr:colOff>
      <xdr:row>1</xdr:row>
      <xdr:rowOff>95251</xdr:rowOff>
    </xdr:from>
    <xdr:to>
      <xdr:col>2</xdr:col>
      <xdr:colOff>637950</xdr:colOff>
      <xdr:row>5</xdr:row>
      <xdr:rowOff>27959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57176"/>
          <a:ext cx="1800000" cy="580408"/>
        </a:xfrm>
        <a:prstGeom prst="rect">
          <a:avLst/>
        </a:prstGeom>
      </xdr:spPr>
    </xdr:pic>
    <xdr:clientData/>
  </xdr:twoCellAnchor>
  <xdr:twoCellAnchor editAs="oneCell">
    <xdr:from>
      <xdr:col>7</xdr:col>
      <xdr:colOff>142875</xdr:colOff>
      <xdr:row>1</xdr:row>
      <xdr:rowOff>19050</xdr:rowOff>
    </xdr:from>
    <xdr:to>
      <xdr:col>7</xdr:col>
      <xdr:colOff>521519</xdr:colOff>
      <xdr:row>5</xdr:row>
      <xdr:rowOff>8550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10175" y="180975"/>
          <a:ext cx="378644" cy="6657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17</xdr:row>
      <xdr:rowOff>0</xdr:rowOff>
    </xdr:from>
    <xdr:to>
      <xdr:col>5</xdr:col>
      <xdr:colOff>133350</xdr:colOff>
      <xdr:row>27</xdr:row>
      <xdr:rowOff>104775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171449</xdr:colOff>
      <xdr:row>17</xdr:row>
      <xdr:rowOff>0</xdr:rowOff>
    </xdr:from>
    <xdr:to>
      <xdr:col>7</xdr:col>
      <xdr:colOff>635999</xdr:colOff>
      <xdr:row>27</xdr:row>
      <xdr:rowOff>104775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66675</xdr:colOff>
      <xdr:row>1</xdr:row>
      <xdr:rowOff>95251</xdr:rowOff>
    </xdr:from>
    <xdr:to>
      <xdr:col>2</xdr:col>
      <xdr:colOff>637950</xdr:colOff>
      <xdr:row>5</xdr:row>
      <xdr:rowOff>56534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57176"/>
          <a:ext cx="1800000" cy="608983"/>
        </a:xfrm>
        <a:prstGeom prst="rect">
          <a:avLst/>
        </a:prstGeom>
      </xdr:spPr>
    </xdr:pic>
    <xdr:clientData/>
  </xdr:twoCellAnchor>
  <xdr:twoCellAnchor editAs="oneCell">
    <xdr:from>
      <xdr:col>7</xdr:col>
      <xdr:colOff>142875</xdr:colOff>
      <xdr:row>1</xdr:row>
      <xdr:rowOff>19050</xdr:rowOff>
    </xdr:from>
    <xdr:to>
      <xdr:col>7</xdr:col>
      <xdr:colOff>521519</xdr:colOff>
      <xdr:row>5</xdr:row>
      <xdr:rowOff>37125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10175" y="180975"/>
          <a:ext cx="378644" cy="66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36</xdr:row>
          <xdr:rowOff>152400</xdr:rowOff>
        </xdr:from>
        <xdr:to>
          <xdr:col>7</xdr:col>
          <xdr:colOff>571500</xdr:colOff>
          <xdr:row>45</xdr:row>
          <xdr:rowOff>123825</xdr:rowOff>
        </xdr:to>
        <xdr:sp macro="" textlink="">
          <xdr:nvSpPr>
            <xdr:cNvPr id="8214" name="Figuur 11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733425</xdr:colOff>
          <xdr:row>28</xdr:row>
          <xdr:rowOff>104775</xdr:rowOff>
        </xdr:from>
        <xdr:to>
          <xdr:col>7</xdr:col>
          <xdr:colOff>581025</xdr:colOff>
          <xdr:row>37</xdr:row>
          <xdr:rowOff>114300</xdr:rowOff>
        </xdr:to>
        <xdr:sp macro="" textlink="">
          <xdr:nvSpPr>
            <xdr:cNvPr id="8215" name="Object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0018368/AppData/Local/Microsoft/Windows/Temporary%20Internet%20Files/Content.Outlook/T6AQN4U9/READY%20FOR%20USE/Aminopyri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es"/>
      <sheetName val="AMP13C"/>
      <sheetName val="AMPRAPKWS"/>
      <sheetName val="Module1"/>
      <sheetName val="Data_van_LIS"/>
      <sheetName val="Data_naar_LIS"/>
      <sheetName val="Patiënten"/>
    </sheetNames>
    <sheetDataSet>
      <sheetData sheetId="0" refreshError="1"/>
      <sheetData sheetId="1">
        <row r="3">
          <cell r="B3">
            <v>111102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
<Relationships xmlns="http://schemas.openxmlformats.org/package/2006/relationships"><Relationship Id="rId3" Type="http://schemas.openxmlformats.org/officeDocument/2006/relationships/printerSettings" Target="../printerSettings/printerSettings1.bin"/></Relationships>
</file>

<file path=xl/worksheets/_rels/sheet2.xml.rels><?xml version="1.0" encoding="UTF-8" standalone="yes"?>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Microsoft_Word_97_-_2003_Document1.doc"/><Relationship Id="rId5" Type="http://schemas.openxmlformats.org/officeDocument/2006/relationships/image" Target="../media/image4.emf"/><Relationship Id="rId4" Type="http://schemas.openxmlformats.org/officeDocument/2006/relationships/oleObject" Target="../embeddings/Microsoft_Word_97_-_2003_Document.doc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\UZ\Data\LaboratoriumGeneeskunde\URL\PT3\URL_126_Validatiedossier_ademtesten\13C-maagledigingen\1.%2013C-octaanzuur\1.4.%20validatie%20rekenblade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4"/>
  <dimension ref="A1:H26"/>
  <sheetViews>
    <sheetView zoomScaleNormal="100" workbookViewId="0">
      <selection activeCell="B22" sqref="B22"/>
    </sheetView>
  </sheetViews>
  <sheetFormatPr baseColWidth="10" defaultColWidth="8.85546875" defaultRowHeight="12.75" x14ac:dyDescent="0.2"/>
  <cols>
    <col min="1" max="1" width="28.28515625" bestFit="1" customWidth="1"/>
    <col min="2" max="2" width="44.7109375" bestFit="1" customWidth="1"/>
    <col min="7" max="7" width="19" customWidth="1"/>
    <col min="8" max="8" width="41.140625" customWidth="1"/>
    <col min="9" max="9" width="9.42578125" bestFit="1" customWidth="1"/>
  </cols>
  <sheetData>
    <row r="1" spans="1:8" x14ac:dyDescent="0.2">
      <c r="A1" s="35" t="s">
        <v>56</v>
      </c>
      <c r="B1" s="36"/>
    </row>
    <row r="2" spans="1:8" x14ac:dyDescent="0.2">
      <c r="A2" s="36"/>
      <c r="B2" s="36"/>
      <c r="G2" s="36"/>
      <c r="H2" s="36"/>
    </row>
    <row r="3" spans="1:8" x14ac:dyDescent="0.2">
      <c r="A3" s="37"/>
      <c r="B3" s="35"/>
    </row>
    <row r="4" spans="1:8" x14ac:dyDescent="0.2">
      <c r="A4" s="37"/>
      <c r="B4" s="35"/>
    </row>
    <row r="5" spans="1:8" x14ac:dyDescent="0.2">
      <c r="A5" s="37"/>
      <c r="B5" s="35"/>
    </row>
    <row r="6" spans="1:8" x14ac:dyDescent="0.2">
      <c r="A6" s="37"/>
      <c r="B6" s="35"/>
      <c r="H6" s="45"/>
    </row>
    <row r="7" spans="1:8" x14ac:dyDescent="0.2">
      <c r="A7" s="37"/>
      <c r="B7" s="35"/>
    </row>
    <row r="8" spans="1:8" x14ac:dyDescent="0.2">
      <c r="A8" s="37"/>
      <c r="B8" s="35"/>
    </row>
    <row r="9" spans="1:8" x14ac:dyDescent="0.2">
      <c r="A9" s="37"/>
      <c r="B9" s="35"/>
    </row>
    <row r="10" spans="1:8" x14ac:dyDescent="0.2">
      <c r="A10" s="37"/>
      <c r="B10" s="35"/>
    </row>
    <row r="11" spans="1:8" x14ac:dyDescent="0.2">
      <c r="A11" s="37"/>
      <c r="B11" s="35"/>
    </row>
    <row r="12" spans="1:8" x14ac:dyDescent="0.2">
      <c r="A12" s="37"/>
      <c r="B12" s="35"/>
    </row>
    <row r="14" spans="1:8" ht="15" x14ac:dyDescent="0.25">
      <c r="A14" s="47" t="s">
        <v>105</v>
      </c>
      <c r="B14" s="41" t="str">
        <f>IF(ISERROR(VLOOKUP(Patienten_13C!$B$2,Data_Van_LIS_13C!A:O,Afname9,0)),"",VLOOKUP(Patienten_13C!$B$2,Data_Van_LIS_13C!A:O,Afname9,0))</f>
        <v/>
      </c>
    </row>
    <row r="17" spans="1:7" x14ac:dyDescent="0.2">
      <c r="A17" s="37"/>
      <c r="B17" s="41"/>
      <c r="C17" s="41"/>
      <c r="D17" s="41"/>
      <c r="E17" s="41"/>
      <c r="F17" s="41"/>
      <c r="G17" s="41"/>
    </row>
    <row r="18" spans="1:7" x14ac:dyDescent="0.2">
      <c r="A18" s="37"/>
      <c r="B18" s="41"/>
      <c r="C18" s="41"/>
      <c r="D18" s="41"/>
      <c r="E18" s="41"/>
      <c r="F18" s="41"/>
      <c r="G18" s="41"/>
    </row>
    <row r="19" spans="1:7" x14ac:dyDescent="0.2">
      <c r="A19" s="37"/>
      <c r="B19" s="41"/>
      <c r="C19" s="41"/>
      <c r="D19" s="41"/>
      <c r="E19" s="41"/>
      <c r="F19" s="41"/>
      <c r="G19" s="41"/>
    </row>
    <row r="20" spans="1:7" x14ac:dyDescent="0.2">
      <c r="A20" s="37"/>
      <c r="B20" s="41"/>
      <c r="C20" s="41"/>
      <c r="D20" s="41"/>
      <c r="E20" s="41"/>
      <c r="F20" s="41"/>
      <c r="G20" s="41"/>
    </row>
    <row r="21" spans="1:7" x14ac:dyDescent="0.2">
      <c r="A21" s="37"/>
      <c r="B21" s="46"/>
      <c r="C21" s="41"/>
      <c r="D21" s="41"/>
      <c r="E21" s="41"/>
      <c r="F21" s="41"/>
      <c r="G21" s="41"/>
    </row>
    <row r="23" spans="1:7" x14ac:dyDescent="0.2">
      <c r="A23" s="37"/>
      <c r="B23" s="41"/>
    </row>
    <row r="24" spans="1:7" x14ac:dyDescent="0.2">
      <c r="A24" s="37"/>
      <c r="B24" s="41"/>
    </row>
    <row r="25" spans="1:7" x14ac:dyDescent="0.2">
      <c r="A25" s="37"/>
      <c r="B25" s="41"/>
    </row>
    <row r="26" spans="1:7" x14ac:dyDescent="0.2">
      <c r="A26" s="37"/>
      <c r="B26" s="46"/>
    </row>
  </sheetData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00B0F0"/>
    <pageSetUpPr fitToPage="1"/>
  </sheetPr>
  <dimension ref="A1:W56"/>
  <sheetViews>
    <sheetView tabSelected="1" zoomScale="85" zoomScaleNormal="85" workbookViewId="0">
      <selection activeCell="A26" sqref="A26"/>
    </sheetView>
  </sheetViews>
  <sheetFormatPr baseColWidth="10" defaultColWidth="9.140625" defaultRowHeight="15.75" customHeight="1" x14ac:dyDescent="0.2"/>
  <cols>
    <col min="1" max="1" width="27.42578125" style="82" customWidth="1"/>
    <col min="2" max="2" width="22.42578125" style="82" customWidth="1"/>
    <col min="3" max="3" width="13.28515625" style="82" customWidth="1"/>
    <col min="4" max="4" width="9" style="82" customWidth="1"/>
    <col min="5" max="5" width="20.140625" style="82" bestFit="1" customWidth="1"/>
    <col min="6" max="6" width="15.85546875" style="82" bestFit="1" customWidth="1"/>
    <col min="7" max="7" width="10" style="84" customWidth="1"/>
    <col min="8" max="8" width="10.42578125" style="82" customWidth="1"/>
    <col min="9" max="9" width="9.140625" style="82"/>
    <col min="10" max="10" width="12" style="82" customWidth="1"/>
    <col min="11" max="11" width="15.85546875" style="84" customWidth="1"/>
    <col min="12" max="12" width="10.42578125" style="82" customWidth="1"/>
    <col min="13" max="13" width="12.42578125" style="82" customWidth="1"/>
    <col min="14" max="14" width="13" style="82" customWidth="1"/>
    <col min="15" max="15" width="15" style="82" customWidth="1"/>
    <col min="16" max="16" width="16" style="82" customWidth="1"/>
    <col min="17" max="17" width="12" style="82" customWidth="1"/>
    <col min="18" max="22" width="9.140625" style="82"/>
    <col min="23" max="23" width="15" style="82" customWidth="1"/>
    <col min="24" max="16384" width="9.140625" style="82"/>
  </cols>
  <sheetData>
    <row r="1" spans="1:23" ht="15.75" customHeight="1" thickBot="1" x14ac:dyDescent="0.25">
      <c r="A1" s="78" t="s">
        <v>27</v>
      </c>
      <c r="B1" s="79"/>
      <c r="C1" s="79"/>
      <c r="D1" s="79"/>
      <c r="E1" s="79"/>
      <c r="F1" s="79"/>
      <c r="G1" s="80"/>
      <c r="H1" s="79"/>
      <c r="I1" s="79"/>
      <c r="J1" s="79"/>
      <c r="K1" s="80"/>
      <c r="L1" s="79"/>
      <c r="M1" s="79"/>
      <c r="N1" s="79"/>
      <c r="O1" s="79"/>
      <c r="P1" s="79"/>
      <c r="Q1" s="79"/>
      <c r="R1" s="79"/>
      <c r="S1" s="79"/>
      <c r="T1" s="81"/>
      <c r="U1" s="66" t="s">
        <v>141</v>
      </c>
      <c r="V1" s="67"/>
      <c r="W1" s="68"/>
    </row>
    <row r="2" spans="1:23" ht="15.75" customHeight="1" thickBot="1" x14ac:dyDescent="0.25">
      <c r="A2" s="83"/>
      <c r="T2" s="85"/>
      <c r="U2" s="69" t="s">
        <v>154</v>
      </c>
      <c r="V2" s="70"/>
      <c r="W2" s="71"/>
    </row>
    <row r="3" spans="1:23" ht="13.5" thickBot="1" x14ac:dyDescent="0.25">
      <c r="A3" s="86" t="s">
        <v>50</v>
      </c>
      <c r="B3" s="225">
        <v>260923</v>
      </c>
      <c r="C3" s="87"/>
      <c r="E3" s="88" t="s">
        <v>55</v>
      </c>
      <c r="F3" s="89"/>
      <c r="H3" s="90" t="s">
        <v>0</v>
      </c>
      <c r="I3" s="91"/>
      <c r="J3" s="92" t="s">
        <v>1</v>
      </c>
      <c r="K3" s="93"/>
      <c r="T3" s="85"/>
      <c r="U3" s="188" t="s">
        <v>181</v>
      </c>
      <c r="V3" s="189" t="s">
        <v>153</v>
      </c>
      <c r="W3" s="190">
        <v>91</v>
      </c>
    </row>
    <row r="4" spans="1:23" ht="15.75" customHeight="1" x14ac:dyDescent="0.2">
      <c r="A4" s="94" t="s">
        <v>54</v>
      </c>
      <c r="B4" s="34"/>
      <c r="C4" s="87"/>
      <c r="E4" s="95" t="s">
        <v>43</v>
      </c>
      <c r="F4" s="96" t="s">
        <v>188</v>
      </c>
      <c r="H4" s="95">
        <v>50</v>
      </c>
      <c r="I4" s="97">
        <v>59.661044891475619</v>
      </c>
      <c r="J4" s="98">
        <v>20</v>
      </c>
      <c r="K4" s="99">
        <v>43.54090864337708</v>
      </c>
      <c r="T4" s="85"/>
      <c r="U4" s="188" t="s">
        <v>210</v>
      </c>
      <c r="V4" s="192" t="s">
        <v>153</v>
      </c>
      <c r="W4" s="190">
        <v>91</v>
      </c>
    </row>
    <row r="5" spans="1:23" ht="15.75" customHeight="1" thickBot="1" x14ac:dyDescent="0.25">
      <c r="A5" s="94" t="s">
        <v>51</v>
      </c>
      <c r="B5" s="100" t="str">
        <f>IF(ISERROR(VLOOKUP(Patienten_13C!$B$2,Data_Van_LIS_13C!A:L,Patient9,0)),"",VLOOKUP(Patienten_13C!$B$2,Data_Van_LIS_13C!A:L,Patient9,0))</f>
        <v/>
      </c>
      <c r="C5" s="100"/>
      <c r="E5" s="95" t="s">
        <v>28</v>
      </c>
      <c r="F5" s="96">
        <v>145</v>
      </c>
      <c r="H5" s="95">
        <v>0.5</v>
      </c>
      <c r="I5" s="97">
        <v>0.66528480376625765</v>
      </c>
      <c r="J5" s="98">
        <v>2</v>
      </c>
      <c r="K5" s="99">
        <v>1.6880662217058884</v>
      </c>
      <c r="T5" s="85"/>
      <c r="U5" s="191" t="s">
        <v>208</v>
      </c>
      <c r="V5" s="192" t="s">
        <v>153</v>
      </c>
      <c r="W5" s="193">
        <v>91</v>
      </c>
    </row>
    <row r="6" spans="1:23" ht="15.75" customHeight="1" thickBot="1" x14ac:dyDescent="0.25">
      <c r="A6" s="94" t="s">
        <v>52</v>
      </c>
      <c r="B6" s="100" t="e">
        <f>Data_Naar_LIS_13C!A3</f>
        <v>#N/A</v>
      </c>
      <c r="C6" s="72" t="str">
        <f>IFERROR(Data_Naar_LIS_13C!$L$3,"COMPLÉTER LA CONCLUSION !")</f>
        <v/>
      </c>
      <c r="D6" s="72"/>
      <c r="E6" s="95" t="s">
        <v>29</v>
      </c>
      <c r="F6" s="96">
        <v>1</v>
      </c>
      <c r="H6" s="101">
        <v>2</v>
      </c>
      <c r="I6" s="102">
        <v>2.8459362560051371</v>
      </c>
      <c r="J6" s="103">
        <v>1</v>
      </c>
      <c r="K6" s="104">
        <v>1.0539600907559339</v>
      </c>
      <c r="T6" s="85"/>
      <c r="U6" s="191" t="s">
        <v>243</v>
      </c>
      <c r="V6" s="192" t="s">
        <v>244</v>
      </c>
      <c r="W6" s="193">
        <v>91</v>
      </c>
    </row>
    <row r="7" spans="1:23" ht="15.75" customHeight="1" x14ac:dyDescent="0.2">
      <c r="A7" s="105"/>
      <c r="B7" s="87"/>
      <c r="C7" s="73"/>
      <c r="D7" s="73"/>
      <c r="E7" s="95" t="s">
        <v>30</v>
      </c>
      <c r="F7" s="96">
        <v>99</v>
      </c>
      <c r="H7" s="33" t="s">
        <v>2</v>
      </c>
      <c r="I7" s="97">
        <f>(((-1/I5)*LN(1-2^(-1/I6)))*60-66.09)/1.12</f>
        <v>64.330808792274567</v>
      </c>
      <c r="J7" s="32" t="s">
        <v>3</v>
      </c>
      <c r="K7" s="51">
        <f>LN(K4)</f>
        <v>3.7737009247521041</v>
      </c>
      <c r="T7" s="85"/>
      <c r="U7" s="191" t="s">
        <v>252</v>
      </c>
      <c r="V7" s="192" t="s">
        <v>253</v>
      </c>
      <c r="W7" s="193">
        <v>91</v>
      </c>
    </row>
    <row r="8" spans="1:23" ht="15.75" customHeight="1" thickBot="1" x14ac:dyDescent="0.25">
      <c r="A8" s="106" t="s">
        <v>93</v>
      </c>
      <c r="B8" s="107" t="str">
        <f>CONCATENATE(IF(ISERROR(VLOOKUP(Patienten_13C!$B$2,Data_Van_LIS_13C!A:N,Geboortedatum9,0)),"",VLOOKUP(Patienten_13C!$B$2,Data_Van_LIS_13C!A:N,Geboortedatum9,0))," (",IF(ISERROR(VLOOKUP(Patienten_13C!$B$2,Data_Van_LIS_13C!A:N,Geslacht9,0)),"",VLOOKUP(Patienten_13C!$B$2,Data_Van_LIS_13C!A:N,Geslacht9,0)),")")</f>
        <v xml:space="preserve"> ()</v>
      </c>
      <c r="C8" s="73"/>
      <c r="D8" s="73"/>
      <c r="E8" s="101" t="s">
        <v>31</v>
      </c>
      <c r="F8" s="102" t="e">
        <f>F11/B10</f>
        <v>#VALUE!</v>
      </c>
      <c r="H8" s="95" t="s">
        <v>4</v>
      </c>
      <c r="I8" s="97">
        <f>((60*(LN(I6))/I5)-60)/0.94</f>
        <v>36.516816117281188</v>
      </c>
      <c r="J8" s="98" t="s">
        <v>2</v>
      </c>
      <c r="K8" s="51">
        <f>(60*(GAMMAINV(0.5,$K$5+1,1/$K$6))-66.09)/1.12</f>
        <v>61.103774650494529</v>
      </c>
      <c r="T8" s="85"/>
      <c r="U8" s="191" t="s">
        <v>254</v>
      </c>
      <c r="V8" s="192" t="s">
        <v>253</v>
      </c>
      <c r="W8" s="193">
        <v>91</v>
      </c>
    </row>
    <row r="9" spans="1:23" ht="15.75" customHeight="1" thickBot="1" x14ac:dyDescent="0.25">
      <c r="A9" s="108" t="s">
        <v>39</v>
      </c>
      <c r="B9" s="74" t="str">
        <f>IF(ISERROR(VLOOKUP(Patienten_13C!$B$2,Data_Van_LIS_13C!A:L,Lengte9,0)),"",VLOOKUP(Patienten_13C!$B$2,Data_Van_LIS_13C!A:L,Lengte9,0))</f>
        <v/>
      </c>
      <c r="C9" s="73"/>
      <c r="D9" s="73"/>
      <c r="H9" s="101"/>
      <c r="I9" s="109"/>
      <c r="J9" s="103" t="s">
        <v>4</v>
      </c>
      <c r="K9" s="110">
        <f>(60*$K$5/$K$6-60)/0.94</f>
        <v>38.402648997181345</v>
      </c>
      <c r="T9" s="85"/>
      <c r="U9" s="191">
        <v>9</v>
      </c>
      <c r="V9" s="192" t="s">
        <v>196</v>
      </c>
      <c r="W9" s="193">
        <v>91</v>
      </c>
    </row>
    <row r="10" spans="1:23" ht="15.75" customHeight="1" thickBot="1" x14ac:dyDescent="0.25">
      <c r="A10" s="108" t="s">
        <v>48</v>
      </c>
      <c r="B10" s="75" t="str">
        <f>IF(ISERROR(VLOOKUP(Patienten_13C!$B$2,Data_Van_LIS_13C!A:L,Gewicht9,0)),"",VLOOKUP(Patienten_13C!$B$2,Data_Van_LIS_13C!A:L,Gewicht9,0))</f>
        <v/>
      </c>
      <c r="C10" s="73"/>
      <c r="D10" s="73"/>
      <c r="E10" s="111" t="s">
        <v>32</v>
      </c>
      <c r="F10" s="112">
        <v>1.1237199999999999E-2</v>
      </c>
      <c r="I10" s="113" t="str">
        <f>IF(M35&lt;P35,"Le modèle B donne le meilleur ajustement", "Le modèle W donne le meilleur ajustement")</f>
        <v>Le modèle W donne le meilleur ajustement</v>
      </c>
      <c r="J10" s="114"/>
      <c r="K10" s="115"/>
      <c r="L10" s="116" t="s">
        <v>53</v>
      </c>
      <c r="M10" s="117"/>
      <c r="N10" s="118">
        <f>IF(VAST13C!M35&lt;VAST13C!P35,VAST13C!I7,VAST13C!K8)</f>
        <v>61.103774650494529</v>
      </c>
      <c r="T10" s="85"/>
      <c r="U10" s="216">
        <v>10</v>
      </c>
      <c r="V10" s="217" t="s">
        <v>197</v>
      </c>
      <c r="W10" s="218">
        <v>91</v>
      </c>
    </row>
    <row r="11" spans="1:23" ht="15.75" customHeight="1" x14ac:dyDescent="0.2">
      <c r="A11" s="105"/>
      <c r="B11" s="119"/>
      <c r="C11" s="119"/>
      <c r="E11" s="94" t="s">
        <v>35</v>
      </c>
      <c r="F11" s="120">
        <f>VLOOKUP(B22,U3:W10,3,0)</f>
        <v>91</v>
      </c>
      <c r="T11" s="85"/>
    </row>
    <row r="12" spans="1:23" ht="15.75" customHeight="1" x14ac:dyDescent="0.2">
      <c r="A12" s="94" t="s">
        <v>94</v>
      </c>
      <c r="B12" s="220" t="str">
        <f>IF(ISERROR(YEARFRAC(DATE(LEFT(B8,4),MID(B8,5,2),MID(B8,7,2)),B14)),"",YEARFRAC(DATE(LEFT(B8,4),MID(B8,5,2),MID(B8,7,2)),B14))</f>
        <v/>
      </c>
      <c r="E12" s="95" t="s">
        <v>33</v>
      </c>
      <c r="F12" s="121" t="e">
        <f>IF($B$15="1",20,IF($B$15="2",$B$19/$B$10,IF($B$15="3",300*$F$13/$B$10,"ERREUR")))</f>
        <v>#VALUE!</v>
      </c>
      <c r="I12" s="122"/>
      <c r="T12" s="85"/>
    </row>
    <row r="13" spans="1:23" ht="15.75" customHeight="1" thickBot="1" x14ac:dyDescent="0.25">
      <c r="A13" s="82" t="str">
        <f>IF(B12&lt;17,"Attention : patient de moins de 17 ans, utiliser l'onglet RAPVAST13CKWS-kind !","")</f>
        <v/>
      </c>
      <c r="C13" s="123"/>
      <c r="D13" s="124"/>
      <c r="E13" s="101" t="s">
        <v>34</v>
      </c>
      <c r="F13" s="125" t="e">
        <f>B10^0.5378*B9^0.3964*0.024265</f>
        <v>#VALUE!</v>
      </c>
      <c r="T13" s="85"/>
    </row>
    <row r="14" spans="1:23" ht="15.75" customHeight="1" x14ac:dyDescent="0.2">
      <c r="A14" s="126" t="s">
        <v>104</v>
      </c>
      <c r="B14" s="127" t="str">
        <f>TEXT(CONCATENATE(MID(Instructies!B14,7,2),"-",MID(Instructies!B14,5,2),"-",LEFT(Instructies!B14,4)),"dd-mm-jjjj")</f>
        <v>--</v>
      </c>
      <c r="C14" s="128"/>
      <c r="D14" s="129" t="s">
        <v>100</v>
      </c>
      <c r="T14" s="85"/>
    </row>
    <row r="15" spans="1:23" ht="15.75" customHeight="1" thickBot="1" x14ac:dyDescent="0.25">
      <c r="A15" s="130" t="s">
        <v>98</v>
      </c>
      <c r="B15" s="131" t="str">
        <f>IF(AND(B12&lt;17,B10&lt;80),"2","3")</f>
        <v>3</v>
      </c>
      <c r="C15" s="129" t="s">
        <v>101</v>
      </c>
      <c r="D15" s="129" t="s">
        <v>126</v>
      </c>
      <c r="T15" s="85"/>
    </row>
    <row r="16" spans="1:23" ht="15.75" customHeight="1" thickBot="1" x14ac:dyDescent="0.25">
      <c r="A16" s="132"/>
      <c r="B16" s="133"/>
      <c r="C16" s="134"/>
      <c r="D16" s="129" t="s">
        <v>102</v>
      </c>
      <c r="L16" s="135" t="s">
        <v>0</v>
      </c>
      <c r="M16" s="136"/>
      <c r="O16" s="135" t="s">
        <v>1</v>
      </c>
      <c r="P16" s="136"/>
      <c r="Q16" s="137"/>
      <c r="R16" s="138" t="s">
        <v>5</v>
      </c>
      <c r="S16" s="89"/>
      <c r="T16" s="85"/>
    </row>
    <row r="17" spans="1:20" ht="15.75" customHeight="1" thickBot="1" x14ac:dyDescent="0.25">
      <c r="D17" s="129"/>
      <c r="E17" s="139"/>
      <c r="F17" s="140" t="s">
        <v>6</v>
      </c>
      <c r="G17" s="141" t="s">
        <v>36</v>
      </c>
      <c r="H17" s="140" t="s">
        <v>37</v>
      </c>
      <c r="I17" s="142" t="s">
        <v>38</v>
      </c>
      <c r="J17" s="142" t="s">
        <v>7</v>
      </c>
      <c r="K17" s="143" t="s">
        <v>8</v>
      </c>
      <c r="L17" s="144" t="s">
        <v>9</v>
      </c>
      <c r="M17" s="144" t="s">
        <v>10</v>
      </c>
      <c r="N17" s="145" t="s">
        <v>11</v>
      </c>
      <c r="O17" s="144" t="s">
        <v>12</v>
      </c>
      <c r="P17" s="144" t="s">
        <v>10</v>
      </c>
      <c r="Q17" s="146" t="s">
        <v>13</v>
      </c>
      <c r="R17" s="147" t="s">
        <v>14</v>
      </c>
      <c r="S17" s="145" t="s">
        <v>15</v>
      </c>
      <c r="T17" s="85"/>
    </row>
    <row r="18" spans="1:20" ht="15.75" customHeight="1" x14ac:dyDescent="0.2">
      <c r="A18" s="148" t="s">
        <v>92</v>
      </c>
      <c r="B18" s="149" t="str">
        <f>IF(ISERROR(VLOOKUP(Patienten_13C!$B$2,Data_Van_LIS_13C!A:N,Geslacht9,0)),"",VLOOKUP(Patienten_13C!$B$2,Data_Van_LIS_13C!A:N,Geslacht9,0))</f>
        <v/>
      </c>
      <c r="E18" s="150" t="s">
        <v>16</v>
      </c>
      <c r="F18" s="151">
        <v>0</v>
      </c>
      <c r="G18" s="152" t="str">
        <f>C27</f>
        <v/>
      </c>
      <c r="H18" s="153" t="e">
        <f>IF(G18&lt;&gt;"",100*$F$10*(G18/1000+1)   /   (1+$F$10*(G18/1000+1)),NA())</f>
        <v>#N/A</v>
      </c>
      <c r="I18" s="153" t="e">
        <f>IF(G18&lt;&gt;"",H18-$H$18,NA())</f>
        <v>#N/A</v>
      </c>
      <c r="J18" s="154" t="e">
        <f>IF(G18&lt;&gt;"",IF(I18&lt;0,"0",(I18*$F$12) * $F$5*100     /   ($F$8*$F$6*($F$7-$H$18))),NA())</f>
        <v>#N/A</v>
      </c>
      <c r="K18" s="51">
        <v>0</v>
      </c>
      <c r="L18" s="155">
        <v>0</v>
      </c>
      <c r="M18" s="156" t="str">
        <f>IF(G18&lt;&gt;"",(L18-J18)^2,"")</f>
        <v/>
      </c>
      <c r="N18" s="97" t="e">
        <f>IF(G18&lt;&gt;"",$I$4*(1-EXP(-$I$5*F18/60))^$I$6,NA())</f>
        <v>#N/A</v>
      </c>
      <c r="O18" s="155">
        <v>0</v>
      </c>
      <c r="P18" s="156" t="str">
        <f>IF(G18&lt;&gt;"",(O18-J18)^2,"")</f>
        <v/>
      </c>
      <c r="Q18" s="51">
        <v>0</v>
      </c>
      <c r="R18" s="157">
        <f t="shared" ref="R18:R34" si="0">IF($M$35&lt;$P$35,L18,O18)</f>
        <v>0</v>
      </c>
      <c r="S18" s="97">
        <f t="shared" ref="S18:S34" si="1">IF($M$35&lt;$P$35,N18,Q18)</f>
        <v>0</v>
      </c>
      <c r="T18" s="85"/>
    </row>
    <row r="19" spans="1:20" ht="15.75" customHeight="1" x14ac:dyDescent="0.2">
      <c r="A19" s="148" t="s">
        <v>99</v>
      </c>
      <c r="B19" s="158" t="str">
        <f>IF(B15="2",(IF(B18="M",(IF(B12&lt;=0.833,(64+(B10-3.5)/0.5*8.3333),(IF(B12&gt;=3,(274+(B10-15)/5*29.8333),(169+(B10-9)/0.5*6.1333))))),(IF(B12&lt;=0.833,(64+(B10-3.5)/0.5*8.3333),(IF(B12&gt;=3,(255+(B10-15)/5*31.25),(162+(B10-9)/0.5*6.27))))))),"")</f>
        <v/>
      </c>
      <c r="D19" s="159"/>
      <c r="E19" s="160">
        <v>1</v>
      </c>
      <c r="F19" s="151">
        <v>15</v>
      </c>
      <c r="G19" s="222" t="str">
        <f>_xlfn.IFNA(IF(ISNUMBER(VLOOKUP(Patienten_13C!B4,Data_Van_LIS_13C!A:K,Patienten_13C!$D$2,0)),VLOOKUP(Patienten_13C!B4,Data_Van_LIS_13C!A:K,Patienten_13C!$D$2,0),""),"")</f>
        <v/>
      </c>
      <c r="H19" s="153" t="str">
        <f t="shared" ref="H19:H30" si="2">IF(G19&lt;&gt;"",100*$F$10*(G19/1000+1)   /   (1+$F$10*(G19/1000+1)),"")</f>
        <v/>
      </c>
      <c r="I19" s="153" t="str">
        <f t="shared" ref="I19:I30" si="3">IF(G19&lt;&gt;"",H19-$H$18,"")</f>
        <v/>
      </c>
      <c r="J19" s="154" t="e">
        <f t="shared" ref="J19:J30" si="4">IF(G19&lt;&gt;"",IF(I19&lt;0,"0",(I19*$F$12) * $F$5*100     /   ($F$8*$F$6*($F$7-$H$18))),NA())</f>
        <v>#N/A</v>
      </c>
      <c r="K19" s="51" t="e">
        <f t="shared" ref="K19:K30" si="5">IF(G19="",NA(),IF(AND(G19&lt;&gt;"",G18&lt;&gt;""),K18+(J18+J19)/2 * (F19-F18)/60,IF(AND(G18="",G17=""),K16+(J16+J19)/2*(F19-F16)/60,IF(G18="",K17+(J17+J19)/2*(F19-F17)/60))))</f>
        <v>#N/A</v>
      </c>
      <c r="L19" s="154">
        <f>$I$4*$I$5*$I$6*EXP(-$I$5*F19/60)*(1-EXP(-$I$5*F19/60))^($I$6-1)</f>
        <v>2.9982361065008138</v>
      </c>
      <c r="M19" s="156" t="str">
        <f t="shared" ref="M19:M34" si="6">IF(G19&lt;&gt;"",(L19-J19)^2,"")</f>
        <v/>
      </c>
      <c r="N19" s="97">
        <f>$I$4*(1-EXP(-$I$5*F19/60))^$I$6</f>
        <v>0.28654795850333126</v>
      </c>
      <c r="O19" s="154">
        <f>$K$4*(F19/60)^$K$5*EXP(-$K$6*F19/60)</f>
        <v>3.2221673323437443</v>
      </c>
      <c r="P19" s="156" t="str">
        <f t="shared" ref="P19:P34" si="7">IF(G19&lt;&gt;"",(O19-J19)^2,"")</f>
        <v/>
      </c>
      <c r="Q19" s="97">
        <f>Q18+(O19+O18)/2*(F19-F18)/60</f>
        <v>0.40277091654296804</v>
      </c>
      <c r="R19" s="157">
        <f t="shared" si="0"/>
        <v>3.2221673323437443</v>
      </c>
      <c r="S19" s="97">
        <f t="shared" si="1"/>
        <v>0.40277091654296804</v>
      </c>
      <c r="T19" s="85"/>
    </row>
    <row r="20" spans="1:20" ht="15.75" customHeight="1" x14ac:dyDescent="0.2">
      <c r="A20" s="83"/>
      <c r="B20" s="129" t="s">
        <v>103</v>
      </c>
      <c r="D20" s="159"/>
      <c r="E20" s="160">
        <v>2</v>
      </c>
      <c r="F20" s="151">
        <v>30</v>
      </c>
      <c r="G20" s="222" t="str">
        <f>_xlfn.IFNA(IF(ISNUMBER(VLOOKUP(Patienten_13C!B5,Data_Van_LIS_13C!A:K,Patienten_13C!$D$2,0)),VLOOKUP(Patienten_13C!B5,Data_Van_LIS_13C!A:K,Patienten_13C!$D$2,0),""),"")</f>
        <v/>
      </c>
      <c r="H20" s="153" t="str">
        <f t="shared" si="2"/>
        <v/>
      </c>
      <c r="I20" s="153" t="str">
        <f t="shared" si="3"/>
        <v/>
      </c>
      <c r="J20" s="154" t="e">
        <f t="shared" si="4"/>
        <v>#N/A</v>
      </c>
      <c r="K20" s="51" t="e">
        <f t="shared" si="5"/>
        <v>#N/A</v>
      </c>
      <c r="L20" s="154">
        <f t="shared" ref="L20:L34" si="8">$I$4*$I$5*$I$6*EXP(-$I$5*F20/60)*(1-EXP(-$I$5*F20/60))^($I$6-1)</f>
        <v>7.8780066438903544</v>
      </c>
      <c r="M20" s="156" t="str">
        <f t="shared" si="6"/>
        <v/>
      </c>
      <c r="N20" s="97">
        <f t="shared" ref="N20:N34" si="9">$I$4*(1-EXP(-$I$5*F20/60))^$I$6</f>
        <v>1.6420788650992741</v>
      </c>
      <c r="O20" s="154">
        <f t="shared" ref="O20:O33" si="10">$K$4*(F20/60)^$K$5*EXP(-$K$6*F20/60)</f>
        <v>7.9776392726497125</v>
      </c>
      <c r="P20" s="156" t="str">
        <f t="shared" si="7"/>
        <v/>
      </c>
      <c r="Q20" s="97">
        <f t="shared" ref="Q20:Q34" si="11">Q19+(O20+O19)/2*(F20-F19)/60</f>
        <v>1.8027467421671501</v>
      </c>
      <c r="R20" s="157">
        <f t="shared" si="0"/>
        <v>7.9776392726497125</v>
      </c>
      <c r="S20" s="97">
        <f t="shared" si="1"/>
        <v>1.8027467421671501</v>
      </c>
      <c r="T20" s="85"/>
    </row>
    <row r="21" spans="1:20" ht="15.75" customHeight="1" x14ac:dyDescent="0.2">
      <c r="A21" s="83"/>
      <c r="D21" s="159"/>
      <c r="E21" s="160">
        <v>3</v>
      </c>
      <c r="F21" s="151">
        <v>45</v>
      </c>
      <c r="G21" s="222" t="str">
        <f>_xlfn.IFNA(IF(ISNUMBER(VLOOKUP(Patienten_13C!B6,Data_Van_LIS_13C!A:K,Patienten_13C!$D$2,0)),VLOOKUP(Patienten_13C!B6,Data_Van_LIS_13C!A:K,Patienten_13C!$D$2,0),""),"")</f>
        <v/>
      </c>
      <c r="H21" s="153" t="str">
        <f t="shared" si="2"/>
        <v/>
      </c>
      <c r="I21" s="153" t="str">
        <f t="shared" si="3"/>
        <v/>
      </c>
      <c r="J21" s="154" t="e">
        <f t="shared" si="4"/>
        <v>#N/A</v>
      </c>
      <c r="K21" s="51" t="e">
        <f t="shared" si="5"/>
        <v>#N/A</v>
      </c>
      <c r="L21" s="154">
        <f t="shared" si="8"/>
        <v>12.222931358326123</v>
      </c>
      <c r="M21" s="156" t="str">
        <f t="shared" si="6"/>
        <v/>
      </c>
      <c r="N21" s="97">
        <f t="shared" si="9"/>
        <v>4.176917461718701</v>
      </c>
      <c r="O21" s="154">
        <f t="shared" si="10"/>
        <v>12.153345328758846</v>
      </c>
      <c r="P21" s="156" t="str">
        <f t="shared" si="7"/>
        <v/>
      </c>
      <c r="Q21" s="97">
        <f t="shared" si="11"/>
        <v>4.3191198173432195</v>
      </c>
      <c r="R21" s="157">
        <f t="shared" si="0"/>
        <v>12.153345328758846</v>
      </c>
      <c r="S21" s="97">
        <f t="shared" si="1"/>
        <v>4.3191198173432195</v>
      </c>
      <c r="T21" s="85"/>
    </row>
    <row r="22" spans="1:20" ht="15.75" customHeight="1" x14ac:dyDescent="0.2">
      <c r="A22" s="148" t="s">
        <v>142</v>
      </c>
      <c r="B22" s="158" t="s">
        <v>257</v>
      </c>
      <c r="D22" s="159"/>
      <c r="E22" s="160">
        <v>4</v>
      </c>
      <c r="F22" s="151">
        <v>60</v>
      </c>
      <c r="G22" s="222" t="str">
        <f>_xlfn.IFNA(IF(ISNUMBER(VLOOKUP(Patienten_13C!B7,Data_Van_LIS_13C!A:K,Patienten_13C!$D$2,0)),VLOOKUP(Patienten_13C!B7,Data_Van_LIS_13C!A:K,Patienten_13C!$D$2,0),""),"")</f>
        <v/>
      </c>
      <c r="H22" s="153" t="str">
        <f t="shared" si="2"/>
        <v/>
      </c>
      <c r="I22" s="153" t="str">
        <f t="shared" si="3"/>
        <v/>
      </c>
      <c r="J22" s="154" t="e">
        <f t="shared" si="4"/>
        <v>#N/A</v>
      </c>
      <c r="K22" s="51" t="e">
        <f t="shared" si="5"/>
        <v>#N/A</v>
      </c>
      <c r="L22" s="154">
        <f t="shared" si="8"/>
        <v>15.322688817602016</v>
      </c>
      <c r="M22" s="156" t="str">
        <f t="shared" si="6"/>
        <v/>
      </c>
      <c r="N22" s="97">
        <f t="shared" si="9"/>
        <v>7.6481152204893617</v>
      </c>
      <c r="O22" s="154">
        <f t="shared" si="10"/>
        <v>15.176388531265269</v>
      </c>
      <c r="P22" s="156" t="str">
        <f t="shared" si="7"/>
        <v/>
      </c>
      <c r="Q22" s="97">
        <f t="shared" si="11"/>
        <v>7.7353365498462336</v>
      </c>
      <c r="R22" s="157">
        <f t="shared" si="0"/>
        <v>15.176388531265269</v>
      </c>
      <c r="S22" s="97">
        <f t="shared" si="1"/>
        <v>7.7353365498462336</v>
      </c>
      <c r="T22" s="85"/>
    </row>
    <row r="23" spans="1:20" ht="15.75" customHeight="1" x14ac:dyDescent="0.2">
      <c r="A23" s="83"/>
      <c r="D23" s="159"/>
      <c r="E23" s="160">
        <v>5</v>
      </c>
      <c r="F23" s="151">
        <v>75</v>
      </c>
      <c r="G23" s="222" t="str">
        <f>_xlfn.IFNA(IF(ISNUMBER(VLOOKUP(Patienten_13C!B8,Data_Van_LIS_13C!A:K,Patienten_13C!$D$2,0)),VLOOKUP(Patienten_13C!B8,Data_Van_LIS_13C!A:K,Patienten_13C!$D$2,0),""),"")</f>
        <v/>
      </c>
      <c r="H23" s="153" t="str">
        <f t="shared" si="2"/>
        <v/>
      </c>
      <c r="I23" s="153" t="str">
        <f t="shared" si="3"/>
        <v/>
      </c>
      <c r="J23" s="154" t="e">
        <f t="shared" si="4"/>
        <v>#N/A</v>
      </c>
      <c r="K23" s="51" t="e">
        <f t="shared" si="5"/>
        <v>#N/A</v>
      </c>
      <c r="L23" s="154">
        <f t="shared" si="8"/>
        <v>17.122328929122961</v>
      </c>
      <c r="M23" s="156" t="str">
        <f t="shared" si="6"/>
        <v/>
      </c>
      <c r="N23" s="97">
        <f t="shared" si="9"/>
        <v>11.729287742985871</v>
      </c>
      <c r="O23" s="154">
        <f t="shared" si="10"/>
        <v>16.995216173086241</v>
      </c>
      <c r="P23" s="156" t="str">
        <f t="shared" si="7"/>
        <v/>
      </c>
      <c r="Q23" s="97">
        <f t="shared" si="11"/>
        <v>11.756787137890171</v>
      </c>
      <c r="R23" s="157">
        <f t="shared" si="0"/>
        <v>16.995216173086241</v>
      </c>
      <c r="S23" s="97">
        <f t="shared" si="1"/>
        <v>11.756787137890171</v>
      </c>
      <c r="T23" s="85"/>
    </row>
    <row r="24" spans="1:20" ht="15.75" customHeight="1" x14ac:dyDescent="0.2">
      <c r="A24" s="83"/>
      <c r="B24" s="161"/>
      <c r="C24" s="162" t="s">
        <v>36</v>
      </c>
      <c r="E24" s="160">
        <v>6</v>
      </c>
      <c r="F24" s="151">
        <v>90</v>
      </c>
      <c r="G24" s="222" t="str">
        <f>_xlfn.IFNA(IF(ISNUMBER(VLOOKUP(Patienten_13C!B9,Data_Van_LIS_13C!A:K,Patienten_13C!$D$2,0)),VLOOKUP(Patienten_13C!B9,Data_Van_LIS_13C!A:K,Patienten_13C!$D$2,0),""),"")</f>
        <v/>
      </c>
      <c r="H24" s="153" t="str">
        <f t="shared" si="2"/>
        <v/>
      </c>
      <c r="I24" s="153" t="str">
        <f t="shared" si="3"/>
        <v/>
      </c>
      <c r="J24" s="154" t="e">
        <f t="shared" si="4"/>
        <v>#N/A</v>
      </c>
      <c r="K24" s="51" t="e">
        <f t="shared" si="5"/>
        <v>#N/A</v>
      </c>
      <c r="L24" s="154">
        <f t="shared" si="8"/>
        <v>17.817633485588754</v>
      </c>
      <c r="M24" s="156" t="str">
        <f>IF(G24&lt;&gt;"",(L24-J24)^2,"")</f>
        <v/>
      </c>
      <c r="N24" s="97">
        <f t="shared" si="9"/>
        <v>16.117092029896192</v>
      </c>
      <c r="O24" s="154">
        <f t="shared" si="10"/>
        <v>17.764689332356831</v>
      </c>
      <c r="P24" s="156" t="str">
        <f t="shared" si="7"/>
        <v/>
      </c>
      <c r="Q24" s="97">
        <f t="shared" si="11"/>
        <v>16.101775326070555</v>
      </c>
      <c r="R24" s="157">
        <f t="shared" si="0"/>
        <v>17.764689332356831</v>
      </c>
      <c r="S24" s="97">
        <f t="shared" si="1"/>
        <v>16.101775326070555</v>
      </c>
      <c r="T24" s="85"/>
    </row>
    <row r="25" spans="1:20" ht="15.75" customHeight="1" x14ac:dyDescent="0.2">
      <c r="A25" s="83"/>
      <c r="B25" s="163" t="s">
        <v>95</v>
      </c>
      <c r="C25" s="164" t="str">
        <f>_xlfn.IFNA(IF(ISBLANK(VLOOKUP(Patienten_13C!B2,Data_Van_LIS_13C!A:K,Patienten_13C!$D$2,0)),"",VLOOKUP(Patienten_13C!B2,Data_Van_LIS_13C!A:K,Patienten_13C!$D$2,0)),"")</f>
        <v/>
      </c>
      <c r="E25" s="160">
        <v>7</v>
      </c>
      <c r="F25" s="151">
        <v>105</v>
      </c>
      <c r="G25" s="222" t="str">
        <f>_xlfn.IFNA(IF(ISNUMBER(VLOOKUP(Patienten_13C!B10,Data_Van_LIS_13C!A:K,Patienten_13C!$D$2,0)),VLOOKUP(Patienten_13C!B10,Data_Van_LIS_13C!A:K,Patienten_13C!$D$2,0),""),"")</f>
        <v/>
      </c>
      <c r="H25" s="153" t="str">
        <f t="shared" si="2"/>
        <v/>
      </c>
      <c r="I25" s="153" t="str">
        <f t="shared" si="3"/>
        <v/>
      </c>
      <c r="J25" s="154" t="e">
        <f t="shared" si="4"/>
        <v>#N/A</v>
      </c>
      <c r="K25" s="51" t="e">
        <f t="shared" si="5"/>
        <v>#N/A</v>
      </c>
      <c r="L25" s="154">
        <f t="shared" si="8"/>
        <v>17.673086192637165</v>
      </c>
      <c r="M25" s="156" t="str">
        <f t="shared" si="6"/>
        <v/>
      </c>
      <c r="N25" s="97">
        <f t="shared" si="9"/>
        <v>20.568162017204248</v>
      </c>
      <c r="O25" s="154">
        <f t="shared" si="10"/>
        <v>17.706632283474423</v>
      </c>
      <c r="P25" s="156" t="str">
        <f t="shared" si="7"/>
        <v/>
      </c>
      <c r="Q25" s="97">
        <f t="shared" si="11"/>
        <v>20.535690528049464</v>
      </c>
      <c r="R25" s="157">
        <f t="shared" si="0"/>
        <v>17.706632283474423</v>
      </c>
      <c r="S25" s="97">
        <f t="shared" si="1"/>
        <v>20.535690528049464</v>
      </c>
      <c r="T25" s="85"/>
    </row>
    <row r="26" spans="1:20" ht="15.75" customHeight="1" x14ac:dyDescent="0.2">
      <c r="A26" s="165"/>
      <c r="B26" s="166" t="s">
        <v>96</v>
      </c>
      <c r="C26" s="167" t="str">
        <f>_xlfn.IFNA(IF(ISBLANK(VLOOKUP(Patienten_13C!B3,Data_Van_LIS_13C!A:K,Patienten_13C!$D$2,0)),"",VLOOKUP(Patienten_13C!B3,Data_Van_LIS_13C!A:K,Patienten_13C!$D$2,0)),"")</f>
        <v/>
      </c>
      <c r="E26" s="160">
        <v>8</v>
      </c>
      <c r="F26" s="151">
        <v>120</v>
      </c>
      <c r="G26" s="222" t="str">
        <f>_xlfn.IFNA(IF(ISNUMBER(VLOOKUP(Patienten_13C!B11,Data_Van_LIS_13C!A:K,Patienten_13C!$D$2,0)),VLOOKUP(Patienten_13C!B11,Data_Van_LIS_13C!A:K,Patienten_13C!$D$2,0),""),"")</f>
        <v/>
      </c>
      <c r="H26" s="153" t="str">
        <f t="shared" si="2"/>
        <v/>
      </c>
      <c r="I26" s="153" t="str">
        <f t="shared" si="3"/>
        <v/>
      </c>
      <c r="J26" s="154" t="e">
        <f t="shared" si="4"/>
        <v>#N/A</v>
      </c>
      <c r="K26" s="51" t="e">
        <f t="shared" si="5"/>
        <v>#N/A</v>
      </c>
      <c r="L26" s="154">
        <f t="shared" si="8"/>
        <v>16.942349421947068</v>
      </c>
      <c r="M26" s="156" t="str">
        <f t="shared" si="6"/>
        <v/>
      </c>
      <c r="N26" s="97">
        <f t="shared" si="9"/>
        <v>24.904906820705424</v>
      </c>
      <c r="O26" s="154">
        <f t="shared" si="10"/>
        <v>17.045037155145451</v>
      </c>
      <c r="P26" s="156" t="str">
        <f t="shared" si="7"/>
        <v/>
      </c>
      <c r="Q26" s="97">
        <f t="shared" si="11"/>
        <v>24.879649207876948</v>
      </c>
      <c r="R26" s="157">
        <f t="shared" si="0"/>
        <v>17.045037155145451</v>
      </c>
      <c r="S26" s="97">
        <f t="shared" si="1"/>
        <v>24.879649207876948</v>
      </c>
      <c r="T26" s="85"/>
    </row>
    <row r="27" spans="1:20" ht="15.75" customHeight="1" x14ac:dyDescent="0.2">
      <c r="A27" s="105"/>
      <c r="B27" s="168" t="s">
        <v>97</v>
      </c>
      <c r="C27" s="169" t="str">
        <f>IF(ISERROR(AVERAGE(C25:C26)),IF(ISERROR(C26),C25,C26),AVERAGE(C25:C26))</f>
        <v/>
      </c>
      <c r="E27" s="160">
        <v>9</v>
      </c>
      <c r="F27" s="151">
        <v>135</v>
      </c>
      <c r="G27" s="222" t="str">
        <f>_xlfn.IFNA(IF(ISNUMBER(VLOOKUP(Patienten_13C!B12,Data_Van_LIS_13C!A:K,Patienten_13C!$D$2,0)),VLOOKUP(Patienten_13C!B12,Data_Van_LIS_13C!A:K,Patienten_13C!$D$2,0),""),"")</f>
        <v/>
      </c>
      <c r="H27" s="153" t="str">
        <f t="shared" si="2"/>
        <v/>
      </c>
      <c r="I27" s="153" t="str">
        <f t="shared" si="3"/>
        <v/>
      </c>
      <c r="J27" s="154" t="e">
        <f t="shared" si="4"/>
        <v>#N/A</v>
      </c>
      <c r="K27" s="51" t="e">
        <f t="shared" si="5"/>
        <v>#N/A</v>
      </c>
      <c r="L27" s="154">
        <f t="shared" si="8"/>
        <v>15.838160657812155</v>
      </c>
      <c r="M27" s="156" t="str">
        <f t="shared" si="6"/>
        <v/>
      </c>
      <c r="N27" s="97">
        <f t="shared" si="9"/>
        <v>29.008351137057947</v>
      </c>
      <c r="O27" s="154">
        <f t="shared" si="10"/>
        <v>15.977710012266769</v>
      </c>
      <c r="P27" s="156" t="str">
        <f t="shared" si="7"/>
        <v/>
      </c>
      <c r="Q27" s="97">
        <f t="shared" si="11"/>
        <v>29.007492603803477</v>
      </c>
      <c r="R27" s="157">
        <f t="shared" si="0"/>
        <v>15.977710012266769</v>
      </c>
      <c r="S27" s="97">
        <f t="shared" si="1"/>
        <v>29.007492603803477</v>
      </c>
      <c r="T27" s="85"/>
    </row>
    <row r="28" spans="1:20" ht="15.75" customHeight="1" x14ac:dyDescent="0.2">
      <c r="A28" s="105"/>
      <c r="D28" s="159"/>
      <c r="E28" s="160">
        <v>10</v>
      </c>
      <c r="F28" s="151">
        <v>150</v>
      </c>
      <c r="G28" s="222" t="str">
        <f>_xlfn.IFNA(IF(ISNUMBER(VLOOKUP(Patienten_13C!B13,Data_Van_LIS_13C!A:K,Patienten_13C!$D$2,0)),VLOOKUP(Patienten_13C!B13,Data_Van_LIS_13C!A:K,Patienten_13C!$D$2,0),""),"")</f>
        <v/>
      </c>
      <c r="H28" s="153" t="str">
        <f t="shared" si="2"/>
        <v/>
      </c>
      <c r="I28" s="153" t="str">
        <f t="shared" si="3"/>
        <v/>
      </c>
      <c r="J28" s="154" t="e">
        <f t="shared" si="4"/>
        <v>#N/A</v>
      </c>
      <c r="K28" s="51" t="e">
        <f t="shared" si="5"/>
        <v>#N/A</v>
      </c>
      <c r="L28" s="154">
        <f t="shared" si="8"/>
        <v>14.525624230637904</v>
      </c>
      <c r="M28" s="156" t="str">
        <f t="shared" si="6"/>
        <v/>
      </c>
      <c r="N28" s="97">
        <f t="shared" si="9"/>
        <v>32.806748291554868</v>
      </c>
      <c r="O28" s="154">
        <f t="shared" si="10"/>
        <v>14.666414201988273</v>
      </c>
      <c r="P28" s="156" t="str">
        <f t="shared" si="7"/>
        <v/>
      </c>
      <c r="Q28" s="97">
        <f t="shared" si="11"/>
        <v>32.838008130585358</v>
      </c>
      <c r="R28" s="157">
        <f t="shared" si="0"/>
        <v>14.666414201988273</v>
      </c>
      <c r="S28" s="97">
        <f t="shared" si="1"/>
        <v>32.838008130585358</v>
      </c>
      <c r="T28" s="85"/>
    </row>
    <row r="29" spans="1:20" ht="15.75" customHeight="1" x14ac:dyDescent="0.2">
      <c r="D29" s="159"/>
      <c r="E29" s="160">
        <v>11</v>
      </c>
      <c r="F29" s="151">
        <v>165</v>
      </c>
      <c r="G29" s="222" t="str">
        <f>_xlfn.IFNA(IF(ISNUMBER(VLOOKUP(Patienten_13C!B14,Data_Van_LIS_13C!A:K,Patienten_13C!$D$2,0)),VLOOKUP(Patienten_13C!B14,Data_Van_LIS_13C!A:K,Patienten_13C!$D$2,0),""),"")</f>
        <v/>
      </c>
      <c r="H29" s="153" t="str">
        <f t="shared" si="2"/>
        <v/>
      </c>
      <c r="I29" s="153" t="str">
        <f t="shared" si="3"/>
        <v/>
      </c>
      <c r="J29" s="154" t="e">
        <f t="shared" si="4"/>
        <v>#N/A</v>
      </c>
      <c r="K29" s="51" t="e">
        <f t="shared" si="5"/>
        <v>#N/A</v>
      </c>
      <c r="L29" s="154">
        <f t="shared" si="8"/>
        <v>13.125792106459498</v>
      </c>
      <c r="M29" s="156" t="str">
        <f t="shared" si="6"/>
        <v/>
      </c>
      <c r="N29" s="97">
        <f t="shared" si="9"/>
        <v>36.263990735649962</v>
      </c>
      <c r="O29" s="154">
        <f t="shared" si="10"/>
        <v>13.236259612989981</v>
      </c>
      <c r="P29" s="156" t="str">
        <f t="shared" si="7"/>
        <v/>
      </c>
      <c r="Q29" s="97">
        <f t="shared" si="11"/>
        <v>36.325842357457638</v>
      </c>
      <c r="R29" s="157">
        <f t="shared" si="0"/>
        <v>13.236259612989981</v>
      </c>
      <c r="S29" s="97">
        <f t="shared" si="1"/>
        <v>36.325842357457638</v>
      </c>
      <c r="T29" s="85"/>
    </row>
    <row r="30" spans="1:20" ht="15.75" customHeight="1" x14ac:dyDescent="0.2">
      <c r="A30" s="105"/>
      <c r="B30" s="124"/>
      <c r="C30" s="124"/>
      <c r="E30" s="160">
        <v>12</v>
      </c>
      <c r="F30" s="151">
        <v>180</v>
      </c>
      <c r="G30" s="222" t="str">
        <f>_xlfn.IFNA(IF(ISNUMBER(VLOOKUP(Patienten_13C!B15,Data_Van_LIS_13C!A:K,Patienten_13C!$D$2,0)),VLOOKUP(Patienten_13C!B15,Data_Van_LIS_13C!A:K,Patienten_13C!$D$2,0),""),"")</f>
        <v/>
      </c>
      <c r="H30" s="153" t="str">
        <f t="shared" si="2"/>
        <v/>
      </c>
      <c r="I30" s="153" t="str">
        <f t="shared" si="3"/>
        <v/>
      </c>
      <c r="J30" s="154" t="e">
        <f t="shared" si="4"/>
        <v>#N/A</v>
      </c>
      <c r="K30" s="51" t="e">
        <f t="shared" si="5"/>
        <v>#N/A</v>
      </c>
      <c r="L30" s="154">
        <f t="shared" si="8"/>
        <v>11.722995370325124</v>
      </c>
      <c r="M30" s="156" t="str">
        <f t="shared" si="6"/>
        <v/>
      </c>
      <c r="N30" s="97">
        <f t="shared" si="9"/>
        <v>39.369476917478352</v>
      </c>
      <c r="O30" s="154">
        <f t="shared" si="10"/>
        <v>11.779384740924993</v>
      </c>
      <c r="P30" s="156" t="str">
        <f t="shared" si="7"/>
        <v/>
      </c>
      <c r="Q30" s="97">
        <f t="shared" si="11"/>
        <v>39.452797901697011</v>
      </c>
      <c r="R30" s="157">
        <f t="shared" si="0"/>
        <v>11.779384740924993</v>
      </c>
      <c r="S30" s="97">
        <f t="shared" si="1"/>
        <v>39.452797901697011</v>
      </c>
      <c r="T30" s="85"/>
    </row>
    <row r="31" spans="1:20" ht="15.75" customHeight="1" x14ac:dyDescent="0.2">
      <c r="A31" s="105"/>
      <c r="B31" s="170"/>
      <c r="C31" s="170"/>
      <c r="E31" s="160">
        <v>13</v>
      </c>
      <c r="F31" s="151">
        <v>195</v>
      </c>
      <c r="G31" s="222" t="str">
        <f>_xlfn.IFNA(IF(ISNUMBER(VLOOKUP(Patienten_13C!B16,Data_Van_LIS_13C!A:K,Patienten_13C!$D$2,0)),VLOOKUP(Patienten_13C!B16,Data_Van_LIS_13C!A:K,Patienten_13C!$D$2,0),""),"")</f>
        <v/>
      </c>
      <c r="H31" s="153" t="str">
        <f>IF(G31&lt;&gt;"",100*$F$10*(G31/1000+1)   /   (1+$F$10*(G31/1000+1)),"")</f>
        <v/>
      </c>
      <c r="I31" s="153" t="str">
        <f>IF(G31&lt;&gt;"",H31-$H$18,"")</f>
        <v/>
      </c>
      <c r="J31" s="154" t="e">
        <f>IF(G31&lt;&gt;"",IF(I31&lt;0,"0",(I31*$F$12) * $F$5*100     /   ($F$8*$F$6*($F$7-$H$18))),NA())</f>
        <v>#N/A</v>
      </c>
      <c r="K31" s="51" t="e">
        <f>IF(G31="",NA(),IF(AND(G31&lt;&gt;"",G30&lt;&gt;""),K30+(J30+J31)/2 * (F31-F30)/60,IF(AND(G30="",G29=""),K28+(J28+J31)/2*(F31-F28)/60,IF(G30="",K29+(J29+J31)/2*(F31-F29)/60))))</f>
        <v>#N/A</v>
      </c>
      <c r="L31" s="154">
        <f t="shared" si="8"/>
        <v>10.372796766709264</v>
      </c>
      <c r="M31" s="156" t="str">
        <f t="shared" si="6"/>
        <v/>
      </c>
      <c r="N31" s="97">
        <f t="shared" si="9"/>
        <v>42.129931067428885</v>
      </c>
      <c r="O31" s="154">
        <f t="shared" si="10"/>
        <v>10.360270185414985</v>
      </c>
      <c r="P31" s="156" t="str">
        <f t="shared" si="7"/>
        <v/>
      </c>
      <c r="Q31" s="97">
        <f t="shared" si="11"/>
        <v>42.220254767489507</v>
      </c>
      <c r="R31" s="157">
        <f t="shared" si="0"/>
        <v>10.360270185414985</v>
      </c>
      <c r="S31" s="97">
        <f t="shared" si="1"/>
        <v>42.220254767489507</v>
      </c>
      <c r="T31" s="85"/>
    </row>
    <row r="32" spans="1:20" ht="15.75" customHeight="1" x14ac:dyDescent="0.2">
      <c r="A32" s="83"/>
      <c r="E32" s="160">
        <v>14</v>
      </c>
      <c r="F32" s="151">
        <v>210</v>
      </c>
      <c r="G32" s="222" t="str">
        <f>_xlfn.IFNA(IF(ISNUMBER(VLOOKUP(Patienten_13C!B17,Data_Van_LIS_13C!A:K,Patienten_13C!$D$2,0)),VLOOKUP(Patienten_13C!B17,Data_Van_LIS_13C!A:K,Patienten_13C!$D$2,0),""),"")</f>
        <v/>
      </c>
      <c r="H32" s="153" t="str">
        <f t="shared" ref="H32:H34" si="12">IF(G32&lt;&gt;"",100*$F$10*(G32/1000+1)   /   (1+$F$10*(G32/1000+1)),"")</f>
        <v/>
      </c>
      <c r="I32" s="153" t="str">
        <f t="shared" ref="I32:I34" si="13">IF(G32&lt;&gt;"",H32-$H$18,"")</f>
        <v/>
      </c>
      <c r="J32" s="154" t="e">
        <f t="shared" ref="J32:J34" si="14">IF(G32&lt;&gt;"",IF(I32&lt;0,"0",(I32*$F$12) * $F$5*100     /   ($F$8*$F$6*($F$7-$H$18))),NA())</f>
        <v>#N/A</v>
      </c>
      <c r="K32" s="51" t="e">
        <f t="shared" ref="K32:K34" si="15">IF(G32="",NA(),IF(AND(G32&lt;&gt;"",G31&lt;&gt;""),K31+(J31+J32)/2 * (F32-F31)/60,IF(AND(G31="",G30=""),K29+(J29+J32)/2*(F32-F29)/60,IF(G31="",K30+(J30+J32)/2*(F32-F30)/60))))</f>
        <v>#N/A</v>
      </c>
      <c r="L32" s="154">
        <f t="shared" si="8"/>
        <v>9.1091975669825214</v>
      </c>
      <c r="M32" s="156" t="str">
        <f t="shared" si="6"/>
        <v/>
      </c>
      <c r="N32" s="97">
        <f t="shared" si="9"/>
        <v>44.563134758234781</v>
      </c>
      <c r="O32" s="154">
        <f t="shared" si="10"/>
        <v>9.0212910704438922</v>
      </c>
      <c r="P32" s="156" t="str">
        <f t="shared" si="7"/>
        <v/>
      </c>
      <c r="Q32" s="97">
        <f t="shared" si="11"/>
        <v>44.642949924471864</v>
      </c>
      <c r="R32" s="157">
        <f t="shared" si="0"/>
        <v>9.0212910704438922</v>
      </c>
      <c r="S32" s="97">
        <f t="shared" si="1"/>
        <v>44.642949924471864</v>
      </c>
      <c r="T32" s="85"/>
    </row>
    <row r="33" spans="1:20" ht="15.75" customHeight="1" x14ac:dyDescent="0.2">
      <c r="A33" s="83"/>
      <c r="E33" s="160">
        <v>15</v>
      </c>
      <c r="F33" s="151">
        <v>225</v>
      </c>
      <c r="G33" s="222" t="str">
        <f>_xlfn.IFNA(IF(ISNUMBER(VLOOKUP(Patienten_13C!B18,Data_Van_LIS_13C!A:K,Patienten_13C!$D$2,0)),VLOOKUP(Patienten_13C!B18,Data_Van_LIS_13C!A:K,Patienten_13C!$D$2,0),""),"")</f>
        <v/>
      </c>
      <c r="H33" s="153" t="str">
        <f t="shared" si="12"/>
        <v/>
      </c>
      <c r="I33" s="153" t="str">
        <f t="shared" si="13"/>
        <v/>
      </c>
      <c r="J33" s="154" t="e">
        <f t="shared" si="14"/>
        <v>#N/A</v>
      </c>
      <c r="K33" s="51" t="e">
        <f t="shared" si="15"/>
        <v>#N/A</v>
      </c>
      <c r="L33" s="154">
        <f t="shared" si="8"/>
        <v>7.9506219974690122</v>
      </c>
      <c r="M33" s="156" t="str">
        <f t="shared" si="6"/>
        <v/>
      </c>
      <c r="N33" s="97">
        <f t="shared" si="9"/>
        <v>46.693311621940822</v>
      </c>
      <c r="O33" s="154">
        <f t="shared" si="10"/>
        <v>7.7878277603475254</v>
      </c>
      <c r="P33" s="156" t="str">
        <f t="shared" si="7"/>
        <v/>
      </c>
      <c r="Q33" s="97">
        <f t="shared" si="11"/>
        <v>46.744089778320792</v>
      </c>
      <c r="R33" s="157">
        <f t="shared" si="0"/>
        <v>7.7878277603475254</v>
      </c>
      <c r="S33" s="97">
        <f t="shared" si="1"/>
        <v>46.744089778320792</v>
      </c>
      <c r="T33" s="85"/>
    </row>
    <row r="34" spans="1:20" ht="15.75" customHeight="1" thickBot="1" x14ac:dyDescent="0.25">
      <c r="A34" s="83"/>
      <c r="B34" s="82" t="s">
        <v>115</v>
      </c>
      <c r="E34" s="171">
        <v>16</v>
      </c>
      <c r="F34" s="172">
        <v>240</v>
      </c>
      <c r="G34" s="223" t="str">
        <f>_xlfn.IFNA(IF(ISNUMBER(VLOOKUP(Patienten_13C!B19,Data_Van_LIS_13C!A:K,Patienten_13C!$D$2,0)),VLOOKUP(Patienten_13C!B19,Data_Van_LIS_13C!A:K,Patienten_13C!$D$2,0),""),"")</f>
        <v/>
      </c>
      <c r="H34" s="224" t="str">
        <f t="shared" si="12"/>
        <v/>
      </c>
      <c r="I34" s="173" t="str">
        <f t="shared" si="13"/>
        <v/>
      </c>
      <c r="J34" s="174" t="e">
        <f t="shared" si="14"/>
        <v>#N/A</v>
      </c>
      <c r="K34" s="110" t="e">
        <f t="shared" si="15"/>
        <v>#N/A</v>
      </c>
      <c r="L34" s="175">
        <f t="shared" si="8"/>
        <v>6.9046291990049635</v>
      </c>
      <c r="M34" s="176" t="str">
        <f t="shared" si="6"/>
        <v/>
      </c>
      <c r="N34" s="102">
        <f t="shared" si="9"/>
        <v>48.54784759657116</v>
      </c>
      <c r="O34" s="174">
        <f>$K$4*(F34/60)^$K$5*EXP(-$K$6*F34/60)</f>
        <v>6.6726510923304163</v>
      </c>
      <c r="P34" s="176" t="str">
        <f t="shared" si="7"/>
        <v/>
      </c>
      <c r="Q34" s="102">
        <f t="shared" si="11"/>
        <v>48.551649634905537</v>
      </c>
      <c r="R34" s="175">
        <f t="shared" si="0"/>
        <v>6.6726510923304163</v>
      </c>
      <c r="S34" s="102">
        <f t="shared" si="1"/>
        <v>48.551649634905537</v>
      </c>
      <c r="T34" s="85"/>
    </row>
    <row r="35" spans="1:20" ht="15.75" customHeight="1" thickBot="1" x14ac:dyDescent="0.25">
      <c r="A35" s="83"/>
      <c r="F35" s="177"/>
      <c r="L35" s="101" t="s">
        <v>17</v>
      </c>
      <c r="M35" s="178">
        <f>SUM(M18:M34)</f>
        <v>0</v>
      </c>
      <c r="N35" s="179"/>
      <c r="O35" s="180" t="s">
        <v>17</v>
      </c>
      <c r="P35" s="178">
        <f>SUM(P18:P34)</f>
        <v>0</v>
      </c>
      <c r="T35" s="85"/>
    </row>
    <row r="36" spans="1:20" ht="15.75" customHeight="1" x14ac:dyDescent="0.2">
      <c r="A36" s="83"/>
      <c r="G36" s="82"/>
      <c r="T36" s="85"/>
    </row>
    <row r="37" spans="1:20" ht="15.75" customHeight="1" x14ac:dyDescent="0.2">
      <c r="A37" s="181" t="s">
        <v>49</v>
      </c>
      <c r="B37" s="98"/>
      <c r="C37" s="98"/>
      <c r="D37" s="98"/>
      <c r="E37" s="98"/>
      <c r="F37" s="98"/>
      <c r="G37" s="182"/>
      <c r="H37" s="98"/>
      <c r="I37" s="98"/>
      <c r="J37" s="98"/>
      <c r="K37" s="182"/>
      <c r="L37" s="98"/>
      <c r="M37" s="98"/>
      <c r="N37" s="98"/>
      <c r="O37" s="98"/>
      <c r="P37" s="98"/>
      <c r="Q37" s="98"/>
      <c r="R37" s="98"/>
      <c r="S37" s="98"/>
      <c r="T37" s="85"/>
    </row>
    <row r="38" spans="1:20" ht="15.75" customHeight="1" x14ac:dyDescent="0.2">
      <c r="A38" s="187" t="s">
        <v>106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85"/>
    </row>
    <row r="39" spans="1:20" ht="15.75" customHeight="1" x14ac:dyDescent="0.2">
      <c r="A39" s="187" t="s">
        <v>107</v>
      </c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85"/>
    </row>
    <row r="40" spans="1:20" ht="15.75" customHeight="1" x14ac:dyDescent="0.2">
      <c r="A40" s="187" t="s">
        <v>108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85"/>
    </row>
    <row r="41" spans="1:20" ht="15.75" customHeight="1" x14ac:dyDescent="0.2">
      <c r="A41" s="184" t="s">
        <v>82</v>
      </c>
      <c r="B41" s="185"/>
      <c r="C41" s="185"/>
      <c r="D41" s="185"/>
      <c r="E41" s="186"/>
      <c r="F41" s="186"/>
      <c r="G41" s="186"/>
      <c r="H41" s="185"/>
      <c r="I41" s="185"/>
      <c r="J41" s="185"/>
      <c r="K41" s="186"/>
      <c r="L41" s="185"/>
      <c r="M41" s="185"/>
      <c r="N41" s="185"/>
      <c r="O41" s="185"/>
      <c r="P41" s="185"/>
      <c r="Q41" s="185"/>
      <c r="R41" s="185"/>
      <c r="S41" s="185"/>
      <c r="T41" s="85"/>
    </row>
    <row r="42" spans="1:20" ht="15.75" customHeight="1" thickBot="1" x14ac:dyDescent="0.25">
      <c r="A42" s="230" t="s">
        <v>73</v>
      </c>
      <c r="B42" s="230"/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M42" s="230"/>
      <c r="N42" s="230"/>
      <c r="O42" s="230"/>
      <c r="P42" s="230"/>
      <c r="Q42" s="230"/>
      <c r="R42" s="230"/>
      <c r="S42" s="230"/>
      <c r="T42" s="139"/>
    </row>
    <row r="44" spans="1:20" ht="15.75" customHeight="1" x14ac:dyDescent="0.2">
      <c r="A44" s="207" t="s">
        <v>180</v>
      </c>
      <c r="B44" s="208">
        <f>LEN(A42)</f>
        <v>5</v>
      </c>
    </row>
    <row r="45" spans="1:20" ht="15.75" customHeight="1" x14ac:dyDescent="0.2">
      <c r="A45" s="130" t="s">
        <v>179</v>
      </c>
      <c r="B45" s="206">
        <f>IFERROR(ABS(C25-C26),0)</f>
        <v>0</v>
      </c>
    </row>
    <row r="47" spans="1:20" ht="15.75" customHeight="1" x14ac:dyDescent="0.2">
      <c r="A47" s="82" t="s">
        <v>183</v>
      </c>
    </row>
    <row r="48" spans="1:20" ht="15.75" customHeight="1" x14ac:dyDescent="0.2">
      <c r="A48" s="82" t="s">
        <v>73</v>
      </c>
    </row>
    <row r="49" spans="1:3" ht="15.75" customHeight="1" x14ac:dyDescent="0.2">
      <c r="A49" s="82" t="s">
        <v>184</v>
      </c>
    </row>
    <row r="50" spans="1:3" ht="15.75" customHeight="1" x14ac:dyDescent="0.2">
      <c r="A50" s="82" t="s">
        <v>185</v>
      </c>
    </row>
    <row r="51" spans="1:3" ht="15.75" customHeight="1" x14ac:dyDescent="0.2">
      <c r="A51" s="82" t="s">
        <v>186</v>
      </c>
    </row>
    <row r="52" spans="1:3" ht="15.75" customHeight="1" x14ac:dyDescent="0.2">
      <c r="A52" s="82" t="s">
        <v>187</v>
      </c>
      <c r="B52" s="177"/>
      <c r="C52" s="177"/>
    </row>
    <row r="53" spans="1:3" ht="15.75" customHeight="1" x14ac:dyDescent="0.2">
      <c r="A53" s="82" t="s">
        <v>211</v>
      </c>
      <c r="B53" s="177"/>
      <c r="C53" s="177"/>
    </row>
    <row r="54" spans="1:3" ht="15.75" customHeight="1" x14ac:dyDescent="0.2">
      <c r="B54" s="177"/>
      <c r="C54" s="177"/>
    </row>
    <row r="55" spans="1:3" ht="15.75" customHeight="1" x14ac:dyDescent="0.2">
      <c r="B55" s="177"/>
      <c r="C55" s="177"/>
    </row>
    <row r="56" spans="1:3" ht="15.75" customHeight="1" x14ac:dyDescent="0.2">
      <c r="B56" s="177"/>
      <c r="C56" s="177"/>
    </row>
  </sheetData>
  <mergeCells count="1">
    <mergeCell ref="A42:S42"/>
  </mergeCells>
  <phoneticPr fontId="3" type="noConversion"/>
  <conditionalFormatting sqref="B12">
    <cfRule type="cellIs" dxfId="7" priority="10" operator="lessThan">
      <formula>17</formula>
    </cfRule>
  </conditionalFormatting>
  <conditionalFormatting sqref="B19">
    <cfRule type="expression" dxfId="6" priority="9">
      <formula>$B$12&lt;17</formula>
    </cfRule>
  </conditionalFormatting>
  <conditionalFormatting sqref="C6">
    <cfRule type="containsText" dxfId="5" priority="8" operator="containsText" text="COMPLÉTER LA CONCLUSION !">
      <formula>NOT(ISERROR(SEARCH("COMPLÉTER LA CONCLUSION !",C6)))</formula>
    </cfRule>
  </conditionalFormatting>
  <conditionalFormatting sqref="A9:B10">
    <cfRule type="expression" dxfId="4" priority="6">
      <formula>IF(OR($B$10/($B$9/100)^2&lt;10,$B$10/($B$9/100)^2&gt;50),1,0)</formula>
    </cfRule>
  </conditionalFormatting>
  <conditionalFormatting sqref="G18">
    <cfRule type="expression" dxfId="3" priority="4">
      <formula>$B$45&gt;1</formula>
    </cfRule>
  </conditionalFormatting>
  <conditionalFormatting sqref="N10">
    <cfRule type="expression" dxfId="2" priority="1" stopIfTrue="1">
      <formula>$B$12&lt;18</formula>
    </cfRule>
    <cfRule type="cellIs" dxfId="1" priority="2" operator="greaterThan">
      <formula>120</formula>
    </cfRule>
    <cfRule type="cellIs" dxfId="0" priority="3" operator="between">
      <formula>75.5</formula>
      <formula>120</formula>
    </cfRule>
  </conditionalFormatting>
  <dataValidations disablePrompts="1" count="2">
    <dataValidation type="list" allowBlank="1" showInputMessage="1" showErrorMessage="1" sqref="B4" xr:uid="{00000000-0002-0000-0100-000000000000}">
      <formula1>Eadnrs9</formula1>
    </dataValidation>
    <dataValidation type="list" allowBlank="1" showInputMessage="1" sqref="A42:S42" xr:uid="{00000000-0002-0000-0100-000001000000}">
      <formula1>$A$48:$A$53</formula1>
    </dataValidation>
  </dataValidations>
  <printOptions gridLines="1" gridLinesSet="0"/>
  <pageMargins left="0.51181102362204722" right="0.51181102362204722" top="0.9055118110236221" bottom="0.51181102362204722" header="0.51181102362204722" footer="0.51181102362204722"/>
  <pageSetup paperSize="9" scale="45" orientation="landscape" r:id="rId1"/>
  <headerFooter alignWithMargins="0">
    <oddHeader>&amp;LSOP-020 PRG-6&amp;Cversion 260722&amp;Rp. &amp;P/&amp;N</oddHeader>
    <oddFooter>&amp;LSystème qualité&amp;CLaboratoire CHC&amp;Rimprimé le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Line="0" autoPict="0" macro="[0]!startwaarden_en_solver_met_reset">
                <anchor moveWithCells="1" sizeWithCells="1">
                  <from>
                    <xdr:col>1</xdr:col>
                    <xdr:colOff>1476375</xdr:colOff>
                    <xdr:row>5</xdr:row>
                    <xdr:rowOff>66675</xdr:rowOff>
                  </from>
                  <to>
                    <xdr:col>3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5" name="Button 13">
              <controlPr defaultSize="0" print="0" autoFill="0" autoPict="0" macro="[0]!Effacer_formulaire">
                <anchor moveWithCells="1" sizeWithCells="1">
                  <from>
                    <xdr:col>2</xdr:col>
                    <xdr:colOff>47625</xdr:colOff>
                    <xdr:row>1</xdr:row>
                    <xdr:rowOff>28575</xdr:rowOff>
                  </from>
                  <to>
                    <xdr:col>3</xdr:col>
                    <xdr:colOff>219075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7" name="Check Box 1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47625</xdr:rowOff>
                  </from>
                  <to>
                    <xdr:col>0</xdr:col>
                    <xdr:colOff>304800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8" name="Check Box 2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28575</xdr:rowOff>
                  </from>
                  <to>
                    <xdr:col>0</xdr:col>
                    <xdr:colOff>304800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Check Box 2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38100</xdr:rowOff>
                  </from>
                  <to>
                    <xdr:col>0</xdr:col>
                    <xdr:colOff>304800</xdr:colOff>
                    <xdr:row>40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">
    <tabColor rgb="FF00B050"/>
  </sheetPr>
  <dimension ref="A1:P22"/>
  <sheetViews>
    <sheetView zoomScaleNormal="100" workbookViewId="0">
      <selection activeCell="E32" sqref="E32"/>
    </sheetView>
  </sheetViews>
  <sheetFormatPr baseColWidth="10" defaultColWidth="8.85546875" defaultRowHeight="12.75" x14ac:dyDescent="0.2"/>
  <cols>
    <col min="2" max="2" width="16.42578125" customWidth="1"/>
    <col min="3" max="3" width="20.42578125" customWidth="1"/>
    <col min="6" max="6" width="16.42578125" customWidth="1"/>
    <col min="7" max="7" width="20.42578125" customWidth="1"/>
    <col min="11" max="11" width="16.42578125" customWidth="1"/>
    <col min="12" max="12" width="20.42578125" customWidth="1"/>
    <col min="15" max="15" width="16.42578125" customWidth="1"/>
    <col min="16" max="16" width="20.42578125" customWidth="1"/>
  </cols>
  <sheetData>
    <row r="1" spans="1:16" ht="15" x14ac:dyDescent="0.25">
      <c r="A1" s="231" t="s">
        <v>127</v>
      </c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</row>
    <row r="3" spans="1:16" x14ac:dyDescent="0.2">
      <c r="A3" s="61" t="s">
        <v>128</v>
      </c>
      <c r="B3" s="61"/>
      <c r="C3" s="61"/>
      <c r="D3" s="61"/>
      <c r="E3" s="61"/>
      <c r="F3" s="61"/>
      <c r="G3" s="61"/>
      <c r="J3" s="62" t="s">
        <v>129</v>
      </c>
      <c r="K3" s="62"/>
      <c r="L3" s="62"/>
      <c r="M3" s="62"/>
      <c r="N3" s="62"/>
      <c r="O3" s="62"/>
      <c r="P3" s="62"/>
    </row>
    <row r="4" spans="1:16" x14ac:dyDescent="0.2">
      <c r="A4" s="63" t="s">
        <v>130</v>
      </c>
      <c r="B4" s="63"/>
      <c r="C4" s="63"/>
      <c r="E4" s="64" t="s">
        <v>131</v>
      </c>
      <c r="F4" s="64"/>
      <c r="G4" s="64"/>
      <c r="J4" s="63" t="s">
        <v>130</v>
      </c>
      <c r="K4" s="63"/>
      <c r="L4" s="63"/>
      <c r="N4" s="64" t="s">
        <v>132</v>
      </c>
      <c r="O4" s="64"/>
      <c r="P4" s="64"/>
    </row>
    <row r="5" spans="1:16" x14ac:dyDescent="0.2">
      <c r="A5" t="s">
        <v>133</v>
      </c>
      <c r="B5" t="s">
        <v>134</v>
      </c>
      <c r="C5" t="s">
        <v>135</v>
      </c>
      <c r="E5" t="s">
        <v>133</v>
      </c>
      <c r="F5" t="s">
        <v>134</v>
      </c>
      <c r="G5" t="s">
        <v>135</v>
      </c>
      <c r="J5" t="s">
        <v>133</v>
      </c>
      <c r="K5" t="s">
        <v>134</v>
      </c>
      <c r="L5" t="s">
        <v>135</v>
      </c>
      <c r="N5" t="s">
        <v>133</v>
      </c>
      <c r="O5" t="s">
        <v>134</v>
      </c>
      <c r="P5" t="s">
        <v>135</v>
      </c>
    </row>
    <row r="6" spans="1:16" x14ac:dyDescent="0.2">
      <c r="A6">
        <v>1</v>
      </c>
      <c r="B6">
        <v>137</v>
      </c>
      <c r="C6">
        <v>173</v>
      </c>
      <c r="E6">
        <v>1</v>
      </c>
      <c r="F6">
        <v>53</v>
      </c>
      <c r="G6">
        <v>75</v>
      </c>
      <c r="J6">
        <v>1</v>
      </c>
      <c r="K6">
        <v>151</v>
      </c>
      <c r="L6">
        <v>188</v>
      </c>
      <c r="N6">
        <v>1</v>
      </c>
      <c r="O6">
        <v>53</v>
      </c>
      <c r="P6">
        <v>75</v>
      </c>
    </row>
    <row r="7" spans="1:16" x14ac:dyDescent="0.2">
      <c r="A7">
        <v>2</v>
      </c>
      <c r="B7">
        <v>124</v>
      </c>
      <c r="C7">
        <v>157</v>
      </c>
      <c r="E7">
        <v>2</v>
      </c>
      <c r="F7">
        <v>50</v>
      </c>
      <c r="G7">
        <v>70</v>
      </c>
      <c r="J7">
        <v>2</v>
      </c>
      <c r="K7">
        <v>137</v>
      </c>
      <c r="L7">
        <v>172</v>
      </c>
      <c r="N7">
        <v>2</v>
      </c>
      <c r="O7">
        <v>49</v>
      </c>
      <c r="P7">
        <v>70</v>
      </c>
    </row>
    <row r="8" spans="1:16" x14ac:dyDescent="0.2">
      <c r="A8">
        <v>3</v>
      </c>
      <c r="B8">
        <v>112</v>
      </c>
      <c r="C8">
        <v>143</v>
      </c>
      <c r="E8">
        <v>3</v>
      </c>
      <c r="F8">
        <v>46</v>
      </c>
      <c r="G8">
        <v>66</v>
      </c>
      <c r="J8">
        <v>3</v>
      </c>
      <c r="K8">
        <v>124</v>
      </c>
      <c r="L8">
        <v>157</v>
      </c>
      <c r="N8">
        <v>3</v>
      </c>
      <c r="O8">
        <v>46</v>
      </c>
      <c r="P8">
        <v>66</v>
      </c>
    </row>
    <row r="9" spans="1:16" x14ac:dyDescent="0.2">
      <c r="A9">
        <v>4</v>
      </c>
      <c r="B9">
        <v>100</v>
      </c>
      <c r="C9">
        <v>129</v>
      </c>
      <c r="E9">
        <v>4</v>
      </c>
      <c r="F9">
        <v>43</v>
      </c>
      <c r="G9">
        <v>62</v>
      </c>
      <c r="J9">
        <v>4</v>
      </c>
      <c r="K9">
        <v>112</v>
      </c>
      <c r="L9">
        <v>162</v>
      </c>
      <c r="N9">
        <v>4</v>
      </c>
      <c r="O9">
        <v>42</v>
      </c>
      <c r="P9">
        <v>62</v>
      </c>
    </row>
    <row r="10" spans="1:16" x14ac:dyDescent="0.2">
      <c r="A10">
        <v>5</v>
      </c>
      <c r="B10">
        <v>90</v>
      </c>
      <c r="C10">
        <v>117</v>
      </c>
      <c r="E10">
        <v>5</v>
      </c>
      <c r="F10">
        <v>39</v>
      </c>
      <c r="G10">
        <v>58</v>
      </c>
      <c r="J10">
        <v>5</v>
      </c>
      <c r="K10">
        <v>101</v>
      </c>
      <c r="L10">
        <v>130</v>
      </c>
      <c r="N10">
        <v>5</v>
      </c>
      <c r="O10">
        <v>39</v>
      </c>
      <c r="P10">
        <v>58</v>
      </c>
    </row>
    <row r="11" spans="1:16" x14ac:dyDescent="0.2">
      <c r="A11">
        <v>6</v>
      </c>
      <c r="B11">
        <v>80</v>
      </c>
      <c r="C11">
        <v>105</v>
      </c>
      <c r="E11">
        <v>6</v>
      </c>
      <c r="F11">
        <v>36</v>
      </c>
      <c r="G11">
        <v>54</v>
      </c>
      <c r="J11">
        <v>6</v>
      </c>
      <c r="K11">
        <v>90</v>
      </c>
      <c r="L11">
        <v>117</v>
      </c>
      <c r="N11">
        <v>6</v>
      </c>
      <c r="O11">
        <v>36</v>
      </c>
      <c r="P11">
        <v>54</v>
      </c>
    </row>
    <row r="12" spans="1:16" x14ac:dyDescent="0.2">
      <c r="A12">
        <v>7</v>
      </c>
      <c r="B12">
        <v>82</v>
      </c>
      <c r="C12">
        <v>108</v>
      </c>
      <c r="E12">
        <v>7</v>
      </c>
      <c r="F12">
        <v>38</v>
      </c>
      <c r="G12">
        <v>56</v>
      </c>
      <c r="J12">
        <v>7</v>
      </c>
      <c r="K12">
        <v>93</v>
      </c>
      <c r="L12">
        <v>120</v>
      </c>
      <c r="N12">
        <v>7</v>
      </c>
      <c r="O12">
        <v>38</v>
      </c>
      <c r="P12">
        <v>56</v>
      </c>
    </row>
    <row r="13" spans="1:16" x14ac:dyDescent="0.2">
      <c r="A13">
        <v>8</v>
      </c>
      <c r="B13">
        <v>84</v>
      </c>
      <c r="C13">
        <v>111</v>
      </c>
      <c r="E13">
        <v>8</v>
      </c>
      <c r="F13">
        <v>40</v>
      </c>
      <c r="G13">
        <v>58</v>
      </c>
      <c r="J13">
        <v>8</v>
      </c>
      <c r="K13">
        <v>95</v>
      </c>
      <c r="L13">
        <v>123</v>
      </c>
      <c r="N13">
        <v>8</v>
      </c>
      <c r="O13">
        <v>39</v>
      </c>
      <c r="P13">
        <v>58</v>
      </c>
    </row>
    <row r="14" spans="1:16" x14ac:dyDescent="0.2">
      <c r="A14">
        <v>9</v>
      </c>
      <c r="B14">
        <v>87</v>
      </c>
      <c r="C14">
        <v>113</v>
      </c>
      <c r="E14">
        <v>9</v>
      </c>
      <c r="F14">
        <v>41</v>
      </c>
      <c r="G14">
        <v>61</v>
      </c>
      <c r="J14">
        <v>9</v>
      </c>
      <c r="K14">
        <v>98</v>
      </c>
      <c r="L14">
        <v>126</v>
      </c>
      <c r="N14">
        <v>9</v>
      </c>
      <c r="O14">
        <v>41</v>
      </c>
      <c r="P14">
        <v>60</v>
      </c>
    </row>
    <row r="15" spans="1:16" x14ac:dyDescent="0.2">
      <c r="A15">
        <v>10</v>
      </c>
      <c r="B15">
        <v>89</v>
      </c>
      <c r="C15">
        <v>116</v>
      </c>
      <c r="E15">
        <v>10</v>
      </c>
      <c r="F15">
        <v>43</v>
      </c>
      <c r="G15">
        <v>63</v>
      </c>
      <c r="J15">
        <v>10</v>
      </c>
      <c r="K15">
        <v>100</v>
      </c>
      <c r="L15">
        <v>129</v>
      </c>
      <c r="N15">
        <v>10</v>
      </c>
      <c r="O15">
        <v>43</v>
      </c>
      <c r="P15">
        <v>63</v>
      </c>
    </row>
    <row r="16" spans="1:16" x14ac:dyDescent="0.2">
      <c r="A16">
        <v>11</v>
      </c>
      <c r="B16">
        <v>92</v>
      </c>
      <c r="C16">
        <v>119</v>
      </c>
      <c r="E16">
        <v>11</v>
      </c>
      <c r="F16">
        <v>45</v>
      </c>
      <c r="G16">
        <v>65</v>
      </c>
      <c r="J16">
        <v>11</v>
      </c>
      <c r="K16">
        <v>103</v>
      </c>
      <c r="L16">
        <v>132</v>
      </c>
      <c r="N16">
        <v>11</v>
      </c>
      <c r="O16">
        <v>45</v>
      </c>
      <c r="P16">
        <v>65</v>
      </c>
    </row>
    <row r="17" spans="1:16" x14ac:dyDescent="0.2">
      <c r="A17">
        <v>12</v>
      </c>
      <c r="B17">
        <v>94</v>
      </c>
      <c r="C17">
        <v>122</v>
      </c>
      <c r="E17">
        <v>12</v>
      </c>
      <c r="F17">
        <v>47</v>
      </c>
      <c r="G17">
        <v>68</v>
      </c>
      <c r="J17">
        <v>12</v>
      </c>
      <c r="K17">
        <v>106</v>
      </c>
      <c r="L17">
        <v>135</v>
      </c>
      <c r="N17">
        <v>12</v>
      </c>
      <c r="O17">
        <v>47</v>
      </c>
      <c r="P17">
        <v>68</v>
      </c>
    </row>
    <row r="18" spans="1:16" x14ac:dyDescent="0.2">
      <c r="A18">
        <v>13</v>
      </c>
      <c r="B18">
        <v>85</v>
      </c>
      <c r="C18">
        <v>111</v>
      </c>
      <c r="E18">
        <v>13</v>
      </c>
      <c r="F18">
        <v>43</v>
      </c>
      <c r="G18">
        <v>52</v>
      </c>
      <c r="J18">
        <v>13</v>
      </c>
      <c r="K18">
        <v>95</v>
      </c>
      <c r="L18">
        <v>124</v>
      </c>
      <c r="N18">
        <v>13</v>
      </c>
      <c r="O18">
        <v>43</v>
      </c>
      <c r="P18">
        <v>62</v>
      </c>
    </row>
    <row r="19" spans="1:16" x14ac:dyDescent="0.2">
      <c r="A19">
        <v>14</v>
      </c>
      <c r="B19">
        <v>76</v>
      </c>
      <c r="C19">
        <v>101</v>
      </c>
      <c r="E19">
        <v>14</v>
      </c>
      <c r="F19">
        <v>39</v>
      </c>
      <c r="G19">
        <v>58</v>
      </c>
      <c r="J19">
        <v>14</v>
      </c>
      <c r="K19">
        <v>86</v>
      </c>
      <c r="L19">
        <v>113</v>
      </c>
      <c r="N19">
        <v>14</v>
      </c>
      <c r="O19">
        <v>39</v>
      </c>
      <c r="P19">
        <v>58</v>
      </c>
    </row>
    <row r="20" spans="1:16" x14ac:dyDescent="0.2">
      <c r="A20">
        <v>15</v>
      </c>
      <c r="B20">
        <v>67</v>
      </c>
      <c r="C20">
        <v>91</v>
      </c>
      <c r="E20">
        <v>15</v>
      </c>
      <c r="F20">
        <v>35</v>
      </c>
      <c r="G20">
        <v>55</v>
      </c>
      <c r="J20">
        <v>15</v>
      </c>
      <c r="K20">
        <v>77</v>
      </c>
      <c r="L20">
        <v>102</v>
      </c>
      <c r="N20">
        <v>15</v>
      </c>
      <c r="O20">
        <v>35</v>
      </c>
      <c r="P20">
        <v>54</v>
      </c>
    </row>
    <row r="21" spans="1:16" x14ac:dyDescent="0.2">
      <c r="A21">
        <v>16</v>
      </c>
      <c r="B21">
        <v>59</v>
      </c>
      <c r="C21">
        <v>82</v>
      </c>
      <c r="E21">
        <v>16</v>
      </c>
      <c r="F21">
        <v>32</v>
      </c>
      <c r="G21">
        <v>53</v>
      </c>
      <c r="J21">
        <v>16</v>
      </c>
      <c r="K21">
        <v>68</v>
      </c>
      <c r="L21">
        <v>93</v>
      </c>
      <c r="N21">
        <v>16</v>
      </c>
      <c r="O21">
        <v>32</v>
      </c>
      <c r="P21">
        <v>52</v>
      </c>
    </row>
    <row r="22" spans="1:16" x14ac:dyDescent="0.2">
      <c r="A22">
        <v>17</v>
      </c>
      <c r="B22">
        <v>52</v>
      </c>
      <c r="C22">
        <v>74</v>
      </c>
      <c r="E22">
        <v>17</v>
      </c>
      <c r="F22">
        <v>29</v>
      </c>
      <c r="G22">
        <v>51</v>
      </c>
      <c r="J22">
        <v>17</v>
      </c>
      <c r="K22">
        <v>60</v>
      </c>
      <c r="L22">
        <v>84</v>
      </c>
      <c r="N22">
        <v>17</v>
      </c>
      <c r="O22">
        <v>29</v>
      </c>
      <c r="P22">
        <v>50</v>
      </c>
    </row>
  </sheetData>
  <mergeCells count="1">
    <mergeCell ref="A1:P1"/>
  </mergeCells>
  <pageMargins left="0.7" right="0.7" top="0.75" bottom="0.75" header="0.3" footer="0.3"/>
  <pageSetup paperSize="9" orientation="portrait" r:id="rId1"/>
  <headerFooter>
    <oddHeader>&amp;LSOP-020 PRG-6&amp;Cversion 160201&amp;Rp. &amp;P/&amp;N</oddHeader>
    <oddFooter>&amp;LSystème qualité&amp;CLaboratoire CHC&amp;Rimprimé le 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FFFFCC"/>
  </sheetPr>
  <dimension ref="A1:K149"/>
  <sheetViews>
    <sheetView showGridLines="0" zoomScaleNormal="100" workbookViewId="0">
      <selection activeCell="J12" sqref="J12"/>
    </sheetView>
  </sheetViews>
  <sheetFormatPr baseColWidth="10" defaultColWidth="9.140625" defaultRowHeight="12.75" x14ac:dyDescent="0.2"/>
  <cols>
    <col min="1" max="1" width="9.28515625" style="1" customWidth="1"/>
    <col min="2" max="2" width="9.140625" style="1" customWidth="1"/>
    <col min="3" max="3" width="12.42578125" style="1" customWidth="1"/>
    <col min="4" max="4" width="11.28515625" style="1" customWidth="1"/>
    <col min="5" max="5" width="8.42578125" style="1" customWidth="1"/>
    <col min="6" max="6" width="12.42578125" style="1" customWidth="1"/>
    <col min="7" max="7" width="13" style="1" customWidth="1"/>
    <col min="8" max="8" width="11.42578125" style="1" customWidth="1"/>
    <col min="9" max="9" width="13.85546875" style="1" customWidth="1"/>
    <col min="10" max="10" width="15.140625" style="1" customWidth="1"/>
    <col min="11" max="11" width="13.140625" style="1" customWidth="1"/>
    <col min="12" max="16384" width="9.140625" style="1"/>
  </cols>
  <sheetData>
    <row r="1" spans="1:11" x14ac:dyDescent="0.2">
      <c r="A1" s="36"/>
      <c r="B1" s="36"/>
      <c r="C1" s="36"/>
      <c r="D1" s="36"/>
      <c r="E1" s="36"/>
      <c r="F1" s="36"/>
      <c r="G1" s="36"/>
      <c r="H1" s="36"/>
      <c r="I1" s="36"/>
    </row>
    <row r="2" spans="1:11" ht="15" x14ac:dyDescent="0.2">
      <c r="A2" s="36"/>
      <c r="B2" s="36"/>
      <c r="C2" s="36"/>
      <c r="D2" s="196" t="s">
        <v>158</v>
      </c>
      <c r="E2" s="36"/>
      <c r="F2" s="36"/>
      <c r="G2" s="36"/>
      <c r="H2" s="36"/>
      <c r="I2" s="36"/>
    </row>
    <row r="3" spans="1:11" x14ac:dyDescent="0.2">
      <c r="A3" s="36"/>
      <c r="B3" s="36"/>
      <c r="C3" s="36"/>
      <c r="D3" s="36" t="s">
        <v>159</v>
      </c>
      <c r="E3" s="36"/>
      <c r="F3" s="36"/>
      <c r="G3" s="36"/>
      <c r="H3" s="36"/>
      <c r="I3" s="36"/>
    </row>
    <row r="4" spans="1:11" x14ac:dyDescent="0.2">
      <c r="A4" s="36"/>
      <c r="B4" s="36"/>
      <c r="C4" s="36"/>
      <c r="D4" s="36" t="s">
        <v>166</v>
      </c>
      <c r="E4" s="36"/>
      <c r="F4" s="36"/>
      <c r="G4" s="36"/>
      <c r="H4" s="36"/>
      <c r="I4" s="36"/>
    </row>
    <row r="5" spans="1:11" x14ac:dyDescent="0.2">
      <c r="A5" s="36"/>
      <c r="B5" s="36"/>
      <c r="C5" s="36"/>
      <c r="D5" s="36" t="s">
        <v>160</v>
      </c>
      <c r="E5" s="36"/>
      <c r="F5" s="36"/>
      <c r="G5" s="36"/>
      <c r="H5" s="36"/>
      <c r="I5" s="36"/>
    </row>
    <row r="6" spans="1:11" x14ac:dyDescent="0.2">
      <c r="A6" s="36"/>
      <c r="B6" s="36"/>
      <c r="C6" s="36"/>
      <c r="D6" s="36"/>
      <c r="E6" s="36"/>
      <c r="F6" s="36"/>
      <c r="G6" s="36"/>
      <c r="H6" s="36"/>
      <c r="I6" s="36"/>
    </row>
    <row r="7" spans="1:11" ht="15.75" x14ac:dyDescent="0.25">
      <c r="A7" s="31" t="str">
        <f>IF(VAST13C!A13&lt;&gt;"","Utiliser l'onglet RAPVAST13CKWS-kind !","Nous avons réalisé chez votre patient "&amp;VAST13C!B5&amp;" ("&amp;VAST13C!B4&amp;") l'analyse suivante :")</f>
        <v>Nous avons réalisé chez votre patient  () l'analyse suivante :</v>
      </c>
      <c r="C7" s="2"/>
      <c r="D7" s="2"/>
      <c r="E7" s="2"/>
      <c r="F7" s="2"/>
      <c r="G7" s="2"/>
      <c r="H7" s="2"/>
    </row>
    <row r="8" spans="1:11" ht="15.75" x14ac:dyDescent="0.25">
      <c r="A8" s="3"/>
      <c r="B8" s="3"/>
      <c r="F8" s="3"/>
    </row>
    <row r="9" spans="1:11" s="4" customFormat="1" x14ac:dyDescent="0.2">
      <c r="A9" s="7" t="s">
        <v>18</v>
      </c>
    </row>
    <row r="10" spans="1:11" s="4" customFormat="1" x14ac:dyDescent="0.2">
      <c r="B10" s="5"/>
      <c r="J10" s="6"/>
      <c r="K10" s="6"/>
    </row>
    <row r="11" spans="1:11" s="4" customFormat="1" x14ac:dyDescent="0.2">
      <c r="A11" s="7" t="s">
        <v>249</v>
      </c>
      <c r="B11" s="8"/>
      <c r="D11" s="48" t="str">
        <f>VAST13C!B14</f>
        <v>--</v>
      </c>
      <c r="F11" s="7" t="s">
        <v>43</v>
      </c>
      <c r="H11" s="209" t="s">
        <v>188</v>
      </c>
      <c r="K11" s="6"/>
    </row>
    <row r="12" spans="1:11" s="4" customFormat="1" x14ac:dyDescent="0.2">
      <c r="A12" s="7" t="s">
        <v>40</v>
      </c>
      <c r="B12" s="5"/>
      <c r="D12" s="4" t="str">
        <f>VAST13C!B9</f>
        <v/>
      </c>
      <c r="F12" s="7" t="s">
        <v>44</v>
      </c>
      <c r="H12" s="4">
        <f>VAST13C!F5</f>
        <v>145</v>
      </c>
      <c r="K12" s="6"/>
    </row>
    <row r="13" spans="1:11" s="4" customFormat="1" x14ac:dyDescent="0.2">
      <c r="A13" s="7" t="s">
        <v>41</v>
      </c>
      <c r="B13" s="5"/>
      <c r="D13" s="4" t="str">
        <f>VAST13C!B10</f>
        <v/>
      </c>
      <c r="F13" s="7" t="s">
        <v>45</v>
      </c>
      <c r="H13" s="4">
        <f>VAST13C!F6</f>
        <v>1</v>
      </c>
      <c r="K13" s="6"/>
    </row>
    <row r="14" spans="1:11" s="4" customFormat="1" x14ac:dyDescent="0.2">
      <c r="A14" s="7" t="s">
        <v>31</v>
      </c>
      <c r="D14" s="9" t="e">
        <f>VAST13C!F8</f>
        <v>#VALUE!</v>
      </c>
      <c r="F14" s="7" t="s">
        <v>46</v>
      </c>
      <c r="H14" s="4">
        <f>VAST13C!F7</f>
        <v>99</v>
      </c>
      <c r="K14" s="6"/>
    </row>
    <row r="15" spans="1:11" s="4" customFormat="1" x14ac:dyDescent="0.2">
      <c r="A15" s="7" t="s">
        <v>42</v>
      </c>
      <c r="B15" s="8"/>
      <c r="D15" s="9" t="e">
        <f>VAST13C!F12</f>
        <v>#VALUE!</v>
      </c>
      <c r="G15" s="10"/>
      <c r="H15" s="10"/>
      <c r="K15" s="6"/>
    </row>
    <row r="16" spans="1:11" s="4" customFormat="1" x14ac:dyDescent="0.2">
      <c r="A16" s="7"/>
      <c r="B16" s="8"/>
      <c r="C16" s="9"/>
      <c r="D16" s="9"/>
      <c r="G16" s="10"/>
      <c r="H16" s="10"/>
      <c r="K16" s="6"/>
    </row>
    <row r="17" spans="1:8" s="4" customFormat="1" ht="13.5" thickBot="1" x14ac:dyDescent="0.25">
      <c r="G17" s="10"/>
      <c r="H17" s="10"/>
    </row>
    <row r="18" spans="1:8" s="4" customFormat="1" ht="13.5" thickBot="1" x14ac:dyDescent="0.25">
      <c r="A18" s="29" t="s">
        <v>6</v>
      </c>
      <c r="B18" s="29" t="s">
        <v>36</v>
      </c>
      <c r="G18" s="10"/>
      <c r="H18" s="10"/>
    </row>
    <row r="19" spans="1:8" s="4" customFormat="1" ht="13.5" thickTop="1" x14ac:dyDescent="0.2">
      <c r="A19" s="30">
        <f>IF(VAST13C!F18&lt;&gt;"",VAST13C!F18,"")</f>
        <v>0</v>
      </c>
      <c r="B19" s="65" t="str">
        <f>IF(VAST13C!G18&lt;&gt;"",VAST13C!G18,"")</f>
        <v/>
      </c>
      <c r="G19" s="10"/>
      <c r="H19" s="10"/>
    </row>
    <row r="20" spans="1:8" s="4" customFormat="1" x14ac:dyDescent="0.2">
      <c r="A20" s="30">
        <f>IF(VAST13C!F19&lt;&gt;"",VAST13C!F19,"")</f>
        <v>15</v>
      </c>
      <c r="B20" s="65" t="str">
        <f>IF(VAST13C!G19&lt;&gt;"",VAST13C!G19,"")</f>
        <v/>
      </c>
      <c r="G20" s="10"/>
      <c r="H20" s="10"/>
    </row>
    <row r="21" spans="1:8" s="4" customFormat="1" x14ac:dyDescent="0.2">
      <c r="A21" s="30">
        <f>IF(VAST13C!F20&lt;&gt;"",VAST13C!F20,"")</f>
        <v>30</v>
      </c>
      <c r="B21" s="65" t="str">
        <f>IF(VAST13C!G20&lt;&gt;"",VAST13C!G20,"")</f>
        <v/>
      </c>
      <c r="G21" s="10"/>
      <c r="H21" s="10"/>
    </row>
    <row r="22" spans="1:8" s="4" customFormat="1" x14ac:dyDescent="0.2">
      <c r="A22" s="30">
        <f>IF(VAST13C!F21&lt;&gt;"",VAST13C!F21,"")</f>
        <v>45</v>
      </c>
      <c r="B22" s="65" t="str">
        <f>IF(VAST13C!G21&lt;&gt;"",VAST13C!G21,"")</f>
        <v/>
      </c>
      <c r="G22" s="10"/>
      <c r="H22" s="10"/>
    </row>
    <row r="23" spans="1:8" s="4" customFormat="1" x14ac:dyDescent="0.2">
      <c r="A23" s="30">
        <f>IF(VAST13C!F22&lt;&gt;"",VAST13C!F22,"")</f>
        <v>60</v>
      </c>
      <c r="B23" s="65" t="str">
        <f>IF(VAST13C!G22&lt;&gt;"",VAST13C!G22,"")</f>
        <v/>
      </c>
      <c r="G23" s="10"/>
      <c r="H23" s="10"/>
    </row>
    <row r="24" spans="1:8" s="4" customFormat="1" x14ac:dyDescent="0.2">
      <c r="A24" s="30">
        <f>IF(VAST13C!F23&lt;&gt;"",VAST13C!F23,"")</f>
        <v>75</v>
      </c>
      <c r="B24" s="65" t="str">
        <f>IF(VAST13C!G23&lt;&gt;"",VAST13C!G23,"")</f>
        <v/>
      </c>
      <c r="G24" s="10"/>
      <c r="H24" s="10"/>
    </row>
    <row r="25" spans="1:8" s="4" customFormat="1" x14ac:dyDescent="0.2">
      <c r="A25" s="30">
        <f>IF(VAST13C!F24&lt;&gt;"",VAST13C!F24,"")</f>
        <v>90</v>
      </c>
      <c r="B25" s="65" t="str">
        <f>IF(VAST13C!G24&lt;&gt;"",VAST13C!G24,"")</f>
        <v/>
      </c>
      <c r="E25" s="10"/>
      <c r="F25" s="10"/>
      <c r="G25" s="10"/>
      <c r="H25" s="10"/>
    </row>
    <row r="26" spans="1:8" s="4" customFormat="1" x14ac:dyDescent="0.2">
      <c r="A26" s="30">
        <f>IF(VAST13C!F25&lt;&gt;"",VAST13C!F25,"")</f>
        <v>105</v>
      </c>
      <c r="B26" s="65" t="str">
        <f>IF(VAST13C!G25&lt;&gt;"",VAST13C!G25,"")</f>
        <v/>
      </c>
      <c r="E26" s="10"/>
      <c r="F26" s="10"/>
      <c r="G26" s="10"/>
      <c r="H26" s="10"/>
    </row>
    <row r="27" spans="1:8" s="4" customFormat="1" x14ac:dyDescent="0.2">
      <c r="A27" s="30">
        <f>IF(VAST13C!F26&lt;&gt;"",VAST13C!F26,"")</f>
        <v>120</v>
      </c>
      <c r="B27" s="65" t="str">
        <f>IF(VAST13C!G26&lt;&gt;"",VAST13C!G26,"")</f>
        <v/>
      </c>
      <c r="E27" s="11"/>
      <c r="F27" s="11"/>
      <c r="G27" s="10"/>
      <c r="H27" s="10"/>
    </row>
    <row r="28" spans="1:8" s="4" customFormat="1" x14ac:dyDescent="0.2">
      <c r="A28" s="30">
        <f>IF(VAST13C!F27&lt;&gt;"",VAST13C!F27,"")</f>
        <v>135</v>
      </c>
      <c r="B28" s="65" t="str">
        <f>IF(VAST13C!G27&lt;&gt;"",VAST13C!G27,"")</f>
        <v/>
      </c>
      <c r="E28" s="11"/>
      <c r="F28" s="11"/>
      <c r="G28" s="10"/>
      <c r="H28" s="10"/>
    </row>
    <row r="29" spans="1:8" s="4" customFormat="1" x14ac:dyDescent="0.2">
      <c r="A29" s="30">
        <f>IF(VAST13C!F28&lt;&gt;"",VAST13C!F28,"")</f>
        <v>150</v>
      </c>
      <c r="B29" s="65" t="str">
        <f>IF(VAST13C!G28&lt;&gt;"",VAST13C!G28,"")</f>
        <v/>
      </c>
      <c r="E29" s="11"/>
      <c r="F29" s="11"/>
      <c r="G29" s="10"/>
      <c r="H29" s="10"/>
    </row>
    <row r="30" spans="1:8" s="4" customFormat="1" x14ac:dyDescent="0.2">
      <c r="A30" s="30">
        <f>IF(VAST13C!F29&lt;&gt;"",VAST13C!F29,"")</f>
        <v>165</v>
      </c>
      <c r="B30" s="65" t="str">
        <f>IF(VAST13C!G29&lt;&gt;"",VAST13C!G29,"")</f>
        <v/>
      </c>
      <c r="E30" s="11"/>
      <c r="F30" s="11"/>
      <c r="G30" s="10"/>
      <c r="H30" s="10"/>
    </row>
    <row r="31" spans="1:8" s="4" customFormat="1" x14ac:dyDescent="0.2">
      <c r="A31" s="30">
        <f>IF(VAST13C!F30&lt;&gt;"",VAST13C!F30,"")</f>
        <v>180</v>
      </c>
      <c r="B31" s="65" t="str">
        <f>IF(VAST13C!G30&lt;&gt;"",VAST13C!G30,"")</f>
        <v/>
      </c>
      <c r="D31" s="12" t="s">
        <v>19</v>
      </c>
      <c r="E31" s="11"/>
      <c r="F31" s="10"/>
      <c r="G31" s="10"/>
    </row>
    <row r="32" spans="1:8" s="4" customFormat="1" ht="13.5" thickBot="1" x14ac:dyDescent="0.25">
      <c r="A32" s="30">
        <f>IF(VAST13C!F31&lt;&gt;"",VAST13C!F31,"")</f>
        <v>195</v>
      </c>
      <c r="B32" s="65" t="str">
        <f>IF(VAST13C!G31&lt;&gt;"",VAST13C!G31,"")</f>
        <v/>
      </c>
      <c r="D32" s="13"/>
      <c r="E32" s="13"/>
      <c r="F32" s="14"/>
      <c r="G32" s="15"/>
      <c r="H32" s="16"/>
    </row>
    <row r="33" spans="1:10" s="4" customFormat="1" x14ac:dyDescent="0.2">
      <c r="A33" s="30">
        <f>IF(VAST13C!F32&lt;&gt;"",VAST13C!F32,"")</f>
        <v>210</v>
      </c>
      <c r="B33" s="65" t="str">
        <f>IF(VAST13C!G32&lt;&gt;"",VAST13C!G32,"")</f>
        <v/>
      </c>
      <c r="C33" s="16"/>
      <c r="D33" s="17"/>
      <c r="E33" s="18" t="s">
        <v>20</v>
      </c>
      <c r="F33" s="18" t="s">
        <v>21</v>
      </c>
      <c r="G33" s="18" t="s">
        <v>22</v>
      </c>
      <c r="H33" s="19" t="s">
        <v>23</v>
      </c>
    </row>
    <row r="34" spans="1:10" s="4" customFormat="1" x14ac:dyDescent="0.2">
      <c r="A34" s="30">
        <f>IF(VAST13C!F33&lt;&gt;"",VAST13C!F33,"")</f>
        <v>225</v>
      </c>
      <c r="B34" s="65" t="str">
        <f>IF(VAST13C!G33&lt;&gt;"",VAST13C!G33,"")</f>
        <v/>
      </c>
      <c r="C34" s="20"/>
      <c r="D34" s="21" t="s">
        <v>24</v>
      </c>
      <c r="E34" s="22" t="s">
        <v>174</v>
      </c>
      <c r="F34" s="22" t="s">
        <v>176</v>
      </c>
      <c r="G34" s="23" t="s">
        <v>178</v>
      </c>
      <c r="H34" s="24">
        <f>VAST13C!K7</f>
        <v>3.7737009247521041</v>
      </c>
    </row>
    <row r="35" spans="1:10" s="4" customFormat="1" ht="15" thickBot="1" x14ac:dyDescent="0.3">
      <c r="A35" s="30">
        <f>IF(VAST13C!F34&lt;&gt;"",VAST13C!F34,"")</f>
        <v>240</v>
      </c>
      <c r="B35" s="65" t="str">
        <f>IF(VAST13C!G34&lt;&gt;"",VAST13C!G34,"")</f>
        <v/>
      </c>
      <c r="C35" s="20"/>
      <c r="D35" s="25" t="s">
        <v>47</v>
      </c>
      <c r="E35" s="26" t="s">
        <v>177</v>
      </c>
      <c r="F35" s="26" t="s">
        <v>175</v>
      </c>
      <c r="G35" s="26" t="s">
        <v>25</v>
      </c>
      <c r="H35" s="27">
        <f>VAST13C!N10</f>
        <v>61.103774650494529</v>
      </c>
    </row>
    <row r="36" spans="1:10" s="4" customFormat="1" x14ac:dyDescent="0.2">
      <c r="A36" s="28"/>
      <c r="B36" s="28"/>
      <c r="C36" s="20"/>
      <c r="D36" s="16" t="s">
        <v>26</v>
      </c>
      <c r="E36" s="16"/>
      <c r="F36" s="16"/>
      <c r="G36" s="16"/>
      <c r="H36" s="16"/>
    </row>
    <row r="37" spans="1:10" s="4" customFormat="1" x14ac:dyDescent="0.2">
      <c r="A37" s="28"/>
      <c r="B37" s="28"/>
      <c r="C37" s="10"/>
      <c r="D37" s="10"/>
    </row>
    <row r="38" spans="1:10" s="4" customFormat="1" x14ac:dyDescent="0.2"/>
    <row r="39" spans="1:10" s="4" customFormat="1" x14ac:dyDescent="0.2">
      <c r="A39" s="233" t="s">
        <v>172</v>
      </c>
      <c r="B39" s="233"/>
      <c r="C39" s="233"/>
      <c r="D39" s="233"/>
      <c r="E39" s="233"/>
      <c r="F39" s="233"/>
      <c r="G39" s="233"/>
      <c r="H39" s="233"/>
    </row>
    <row r="40" spans="1:10" s="4" customFormat="1" x14ac:dyDescent="0.2">
      <c r="A40" s="232" t="e">
        <f>Data_Naar_LIS_13C!M3</f>
        <v>#N/A</v>
      </c>
      <c r="B40" s="232"/>
      <c r="C40" s="232"/>
      <c r="D40" s="232"/>
      <c r="E40" s="232"/>
      <c r="F40" s="232"/>
      <c r="G40" s="232"/>
      <c r="H40" s="232"/>
      <c r="J40" s="6"/>
    </row>
    <row r="41" spans="1:10" x14ac:dyDescent="0.2">
      <c r="A41" s="54"/>
      <c r="B41" s="54"/>
      <c r="C41" s="54"/>
      <c r="D41" s="54"/>
      <c r="E41" s="54"/>
      <c r="F41" s="54"/>
      <c r="G41" s="54"/>
      <c r="H41" s="54"/>
      <c r="I41"/>
      <c r="J41"/>
    </row>
    <row r="42" spans="1:10" x14ac:dyDescent="0.2">
      <c r="A42" s="54"/>
      <c r="B42" s="54"/>
      <c r="C42" s="54"/>
      <c r="D42" s="54"/>
      <c r="E42" s="54"/>
      <c r="F42" s="54"/>
      <c r="G42" s="54"/>
      <c r="H42" s="54"/>
      <c r="I42"/>
      <c r="J42"/>
    </row>
    <row r="43" spans="1:10" x14ac:dyDescent="0.2">
      <c r="A43" s="54"/>
      <c r="B43" s="54"/>
      <c r="C43" s="54"/>
      <c r="D43" s="54"/>
      <c r="E43" s="54"/>
      <c r="F43" s="54"/>
      <c r="G43" s="54"/>
      <c r="H43" s="54"/>
      <c r="I43"/>
      <c r="J43"/>
    </row>
    <row r="44" spans="1:10" ht="12.75" customHeight="1" x14ac:dyDescent="0.2">
      <c r="A44" s="233" t="s">
        <v>173</v>
      </c>
      <c r="B44" s="233"/>
      <c r="C44" s="233"/>
      <c r="D44" s="233"/>
      <c r="E44" s="233"/>
      <c r="F44" s="233"/>
      <c r="G44" s="233"/>
      <c r="H44" s="233"/>
      <c r="I44"/>
      <c r="J44"/>
    </row>
    <row r="45" spans="1:10" x14ac:dyDescent="0.2">
      <c r="A45" t="str">
        <f>+VAST13C!$A$42</f>
        <v>Geen.</v>
      </c>
      <c r="B45"/>
    </row>
    <row r="46" spans="1:10" x14ac:dyDescent="0.2">
      <c r="A46"/>
      <c r="B46"/>
    </row>
    <row r="47" spans="1:10" x14ac:dyDescent="0.2">
      <c r="A47"/>
      <c r="B47"/>
    </row>
    <row r="48" spans="1:10" x14ac:dyDescent="0.2">
      <c r="A48"/>
      <c r="B48"/>
    </row>
    <row r="49" spans="1:8" x14ac:dyDescent="0.2">
      <c r="A49"/>
      <c r="B49"/>
    </row>
    <row r="50" spans="1:8" x14ac:dyDescent="0.2">
      <c r="A50"/>
      <c r="B50"/>
    </row>
    <row r="51" spans="1:8" x14ac:dyDescent="0.2">
      <c r="A51"/>
      <c r="B51"/>
    </row>
    <row r="52" spans="1:8" x14ac:dyDescent="0.2">
      <c r="A52"/>
      <c r="B52"/>
    </row>
    <row r="53" spans="1:8" x14ac:dyDescent="0.2">
      <c r="A53"/>
      <c r="B53"/>
      <c r="C53"/>
    </row>
    <row r="54" spans="1:8" customFormat="1" x14ac:dyDescent="0.2"/>
    <row r="55" spans="1:8" customFormat="1" x14ac:dyDescent="0.2"/>
    <row r="56" spans="1:8" customFormat="1" x14ac:dyDescent="0.2">
      <c r="A56" s="197"/>
      <c r="B56" s="197"/>
      <c r="C56" s="197"/>
      <c r="D56" s="197"/>
      <c r="E56" s="197"/>
      <c r="F56" s="197"/>
      <c r="G56" s="197"/>
      <c r="H56" s="197"/>
    </row>
    <row r="57" spans="1:8" customFormat="1" x14ac:dyDescent="0.2">
      <c r="A57" s="198" t="s">
        <v>161</v>
      </c>
      <c r="B57" s="36"/>
      <c r="C57" s="36"/>
      <c r="D57" s="199">
        <f ca="1">NOW()</f>
        <v>46288.607371527774</v>
      </c>
      <c r="E57" s="36"/>
      <c r="F57" s="36"/>
      <c r="G57" s="36"/>
      <c r="H57" s="200" t="s">
        <v>162</v>
      </c>
    </row>
    <row r="58" spans="1:8" customFormat="1" x14ac:dyDescent="0.2">
      <c r="A58" s="201" t="s">
        <v>251</v>
      </c>
      <c r="B58" s="36"/>
      <c r="C58" s="36"/>
      <c r="D58" s="36"/>
      <c r="E58" s="36"/>
      <c r="F58" s="36"/>
      <c r="G58" s="36"/>
      <c r="H58" s="36"/>
    </row>
    <row r="59" spans="1:8" customFormat="1" x14ac:dyDescent="0.2"/>
    <row r="60" spans="1:8" customFormat="1" x14ac:dyDescent="0.2"/>
    <row r="61" spans="1:8" customFormat="1" x14ac:dyDescent="0.2"/>
    <row r="62" spans="1:8" customFormat="1" x14ac:dyDescent="0.2"/>
    <row r="63" spans="1:8" customFormat="1" x14ac:dyDescent="0.2"/>
    <row r="64" spans="1:8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spans="1:10" customFormat="1" x14ac:dyDescent="0.2"/>
    <row r="130" spans="1:10" customFormat="1" x14ac:dyDescent="0.2"/>
    <row r="131" spans="1:10" customFormat="1" x14ac:dyDescent="0.2"/>
    <row r="132" spans="1:10" customFormat="1" x14ac:dyDescent="0.2"/>
    <row r="133" spans="1:10" customFormat="1" x14ac:dyDescent="0.2"/>
    <row r="134" spans="1:10" customFormat="1" x14ac:dyDescent="0.2"/>
    <row r="135" spans="1:10" customFormat="1" x14ac:dyDescent="0.2"/>
    <row r="136" spans="1:10" customFormat="1" x14ac:dyDescent="0.2"/>
    <row r="137" spans="1:10" customFormat="1" x14ac:dyDescent="0.2"/>
    <row r="138" spans="1:10" customFormat="1" x14ac:dyDescent="0.2"/>
    <row r="139" spans="1:10" customFormat="1" x14ac:dyDescent="0.2"/>
    <row r="140" spans="1:10" customFormat="1" x14ac:dyDescent="0.2"/>
    <row r="141" spans="1:10" customFormat="1" x14ac:dyDescent="0.2"/>
    <row r="142" spans="1:10" customFormat="1" x14ac:dyDescent="0.2">
      <c r="J142" s="1"/>
    </row>
    <row r="143" spans="1:10" customForma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</row>
    <row r="144" spans="1:10" customForma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</row>
    <row r="145" spans="1:11" customForma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</row>
    <row r="146" spans="1:11" customForma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</row>
    <row r="147" spans="1:11" customForma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</row>
    <row r="148" spans="1:11" customForma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</row>
    <row r="149" spans="1:11" customForma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</sheetData>
  <mergeCells count="3">
    <mergeCell ref="A40:H40"/>
    <mergeCell ref="A39:H39"/>
    <mergeCell ref="A44:H44"/>
  </mergeCells>
  <phoneticPr fontId="3" type="noConversion"/>
  <printOptions horizontalCentered="1" gridLinesSet="0"/>
  <pageMargins left="0.70866141732283472" right="0.70866141732283472" top="0.19685039370078741" bottom="0.98425196850393704" header="0.31496062992125984" footer="0.31496062992125984"/>
  <pageSetup paperSize="9" orientation="portrait" horizontalDpi="300" verticalDpi="4294967292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K64"/>
  <sheetViews>
    <sheetView showGridLines="0" zoomScaleNormal="100" workbookViewId="0">
      <selection activeCell="A60" sqref="A60"/>
    </sheetView>
  </sheetViews>
  <sheetFormatPr baseColWidth="10" defaultColWidth="9.140625" defaultRowHeight="12.75" x14ac:dyDescent="0.2"/>
  <cols>
    <col min="1" max="1" width="9.28515625" style="1" customWidth="1"/>
    <col min="2" max="2" width="9.140625" style="1" customWidth="1"/>
    <col min="3" max="3" width="12.42578125" style="1" customWidth="1"/>
    <col min="4" max="4" width="11.28515625" style="1" customWidth="1"/>
    <col min="5" max="5" width="8.42578125" style="1" customWidth="1"/>
    <col min="6" max="6" width="12.42578125" style="1" customWidth="1"/>
    <col min="7" max="7" width="15.140625" style="1" customWidth="1"/>
    <col min="8" max="8" width="10.42578125" style="1" customWidth="1"/>
    <col min="9" max="9" width="13.85546875" style="1" customWidth="1"/>
    <col min="10" max="10" width="15.140625" style="1" customWidth="1"/>
    <col min="11" max="11" width="13.140625" style="1" customWidth="1"/>
    <col min="12" max="16384" width="9.140625" style="1"/>
  </cols>
  <sheetData>
    <row r="1" spans="1:11" x14ac:dyDescent="0.2">
      <c r="A1" s="36"/>
      <c r="B1" s="36"/>
      <c r="C1" s="36"/>
      <c r="D1" s="36"/>
      <c r="E1" s="36"/>
      <c r="F1" s="36"/>
      <c r="G1" s="36"/>
      <c r="H1" s="36"/>
      <c r="I1" s="36"/>
    </row>
    <row r="2" spans="1:11" ht="15" x14ac:dyDescent="0.2">
      <c r="A2" s="36"/>
      <c r="B2" s="36"/>
      <c r="C2" s="36"/>
      <c r="D2" s="196" t="s">
        <v>158</v>
      </c>
      <c r="E2" s="36"/>
      <c r="F2" s="36"/>
      <c r="G2" s="36"/>
      <c r="H2" s="36"/>
      <c r="I2" s="36"/>
    </row>
    <row r="3" spans="1:11" x14ac:dyDescent="0.2">
      <c r="A3" s="36"/>
      <c r="B3" s="36"/>
      <c r="C3" s="36"/>
      <c r="D3" s="36" t="s">
        <v>159</v>
      </c>
      <c r="E3" s="36"/>
      <c r="F3" s="36"/>
      <c r="G3" s="36"/>
      <c r="H3" s="36"/>
      <c r="I3" s="36"/>
    </row>
    <row r="4" spans="1:11" x14ac:dyDescent="0.2">
      <c r="A4" s="36"/>
      <c r="B4" s="36"/>
      <c r="C4" s="36"/>
      <c r="D4" s="36" t="s">
        <v>166</v>
      </c>
      <c r="E4" s="36"/>
      <c r="F4" s="36"/>
      <c r="G4" s="36"/>
      <c r="H4" s="36"/>
      <c r="I4" s="36"/>
    </row>
    <row r="5" spans="1:11" x14ac:dyDescent="0.2">
      <c r="A5" s="36"/>
      <c r="B5" s="36"/>
      <c r="C5" s="36"/>
      <c r="D5" s="36" t="s">
        <v>160</v>
      </c>
      <c r="E5" s="36"/>
      <c r="F5" s="36"/>
      <c r="G5" s="36"/>
      <c r="H5" s="36"/>
      <c r="I5" s="36"/>
    </row>
    <row r="6" spans="1:11" x14ac:dyDescent="0.2">
      <c r="A6" s="36"/>
      <c r="B6" s="36"/>
      <c r="C6" s="36"/>
      <c r="D6" s="36"/>
      <c r="E6" s="36"/>
      <c r="F6" s="36"/>
      <c r="G6" s="36"/>
      <c r="H6" s="36"/>
      <c r="I6" s="36"/>
    </row>
    <row r="7" spans="1:11" ht="15.75" x14ac:dyDescent="0.25">
      <c r="A7" s="31" t="str">
        <f>"Nous avons réalisé chez votre patient "&amp;VAST13C!B5&amp;" ("&amp;VAST13C!B4&amp;") l'analyse suivante :"</f>
        <v>Nous avons réalisé chez votre patient  () l'analyse suivante :</v>
      </c>
      <c r="C7" s="2"/>
      <c r="D7" s="2"/>
      <c r="E7" s="2"/>
      <c r="F7" s="2"/>
      <c r="G7" s="2"/>
      <c r="H7" s="2"/>
    </row>
    <row r="8" spans="1:11" ht="15.75" x14ac:dyDescent="0.25">
      <c r="A8" s="3"/>
      <c r="B8" s="3"/>
      <c r="F8" s="3"/>
    </row>
    <row r="9" spans="1:11" s="4" customFormat="1" x14ac:dyDescent="0.2">
      <c r="A9" s="7" t="s">
        <v>18</v>
      </c>
    </row>
    <row r="10" spans="1:11" s="4" customFormat="1" x14ac:dyDescent="0.2">
      <c r="B10" s="5"/>
      <c r="J10" s="6"/>
      <c r="K10" s="6"/>
    </row>
    <row r="11" spans="1:11" s="4" customFormat="1" x14ac:dyDescent="0.2">
      <c r="A11" s="7" t="s">
        <v>249</v>
      </c>
      <c r="B11" s="8"/>
      <c r="D11" s="48" t="str">
        <f>VAST13C!B14</f>
        <v>--</v>
      </c>
      <c r="F11" s="7" t="s">
        <v>43</v>
      </c>
      <c r="H11" s="209" t="s">
        <v>188</v>
      </c>
      <c r="K11" s="6"/>
    </row>
    <row r="12" spans="1:11" s="4" customFormat="1" x14ac:dyDescent="0.2">
      <c r="A12" s="7" t="s">
        <v>40</v>
      </c>
      <c r="B12" s="5"/>
      <c r="D12" s="4" t="str">
        <f>VAST13C!B9</f>
        <v/>
      </c>
      <c r="F12" s="7" t="s">
        <v>44</v>
      </c>
      <c r="H12" s="4">
        <f>VAST13C!F5</f>
        <v>145</v>
      </c>
      <c r="K12" s="6"/>
    </row>
    <row r="13" spans="1:11" s="4" customFormat="1" x14ac:dyDescent="0.2">
      <c r="A13" s="7" t="s">
        <v>41</v>
      </c>
      <c r="B13" s="5"/>
      <c r="D13" s="4" t="str">
        <f>VAST13C!B10</f>
        <v/>
      </c>
      <c r="F13" s="7" t="s">
        <v>45</v>
      </c>
      <c r="H13" s="4">
        <f>VAST13C!F6</f>
        <v>1</v>
      </c>
      <c r="K13" s="6"/>
    </row>
    <row r="14" spans="1:11" s="4" customFormat="1" x14ac:dyDescent="0.2">
      <c r="A14" s="7" t="s">
        <v>31</v>
      </c>
      <c r="D14" s="9" t="e">
        <f>VAST13C!F8</f>
        <v>#VALUE!</v>
      </c>
      <c r="F14" s="7" t="s">
        <v>46</v>
      </c>
      <c r="H14" s="4">
        <f>VAST13C!F7</f>
        <v>99</v>
      </c>
      <c r="K14" s="6"/>
    </row>
    <row r="15" spans="1:11" s="4" customFormat="1" ht="14.25" x14ac:dyDescent="0.25">
      <c r="A15" s="7" t="s">
        <v>189</v>
      </c>
      <c r="B15" s="8"/>
      <c r="D15" s="9" t="e">
        <f>VAST13C!F12</f>
        <v>#VALUE!</v>
      </c>
      <c r="G15" s="10"/>
      <c r="H15" s="10"/>
      <c r="K15" s="6"/>
    </row>
    <row r="16" spans="1:11" s="4" customFormat="1" x14ac:dyDescent="0.2">
      <c r="A16" s="7"/>
      <c r="B16" s="8"/>
      <c r="C16" s="9"/>
      <c r="D16" s="9"/>
      <c r="G16" s="10"/>
      <c r="H16" s="10"/>
      <c r="K16" s="6"/>
    </row>
    <row r="17" spans="1:8" s="4" customFormat="1" ht="13.5" thickBot="1" x14ac:dyDescent="0.25">
      <c r="G17" s="10"/>
      <c r="H17" s="10"/>
    </row>
    <row r="18" spans="1:8" s="4" customFormat="1" ht="13.5" thickBot="1" x14ac:dyDescent="0.25">
      <c r="A18" s="29" t="s">
        <v>6</v>
      </c>
      <c r="B18" s="29" t="s">
        <v>36</v>
      </c>
      <c r="G18" s="10"/>
      <c r="H18" s="10"/>
    </row>
    <row r="19" spans="1:8" s="4" customFormat="1" ht="13.5" thickTop="1" x14ac:dyDescent="0.2">
      <c r="A19" s="30">
        <f>IF(VAST13C!F18&lt;&gt;"",VAST13C!F18,"")</f>
        <v>0</v>
      </c>
      <c r="B19" s="65" t="str">
        <f>IF(VAST13C!G18&lt;&gt;"",VAST13C!G18,"")</f>
        <v/>
      </c>
      <c r="G19" s="10"/>
      <c r="H19" s="10"/>
    </row>
    <row r="20" spans="1:8" s="4" customFormat="1" x14ac:dyDescent="0.2">
      <c r="A20" s="30">
        <f>IF(VAST13C!F19&lt;&gt;"",VAST13C!F19,"")</f>
        <v>15</v>
      </c>
      <c r="B20" s="65" t="str">
        <f>IF(VAST13C!G19&lt;&gt;"",VAST13C!G19,"")</f>
        <v/>
      </c>
      <c r="G20" s="10"/>
      <c r="H20" s="10"/>
    </row>
    <row r="21" spans="1:8" s="4" customFormat="1" x14ac:dyDescent="0.2">
      <c r="A21" s="30">
        <f>IF(VAST13C!F20&lt;&gt;"",VAST13C!F20,"")</f>
        <v>30</v>
      </c>
      <c r="B21" s="65" t="str">
        <f>IF(VAST13C!G20&lt;&gt;"",VAST13C!G20,"")</f>
        <v/>
      </c>
      <c r="G21" s="10"/>
      <c r="H21" s="10"/>
    </row>
    <row r="22" spans="1:8" s="4" customFormat="1" x14ac:dyDescent="0.2">
      <c r="A22" s="30">
        <f>IF(VAST13C!F21&lt;&gt;"",VAST13C!F21,"")</f>
        <v>45</v>
      </c>
      <c r="B22" s="65" t="str">
        <f>IF(VAST13C!G21&lt;&gt;"",VAST13C!G21,"")</f>
        <v/>
      </c>
      <c r="G22" s="10"/>
      <c r="H22" s="10"/>
    </row>
    <row r="23" spans="1:8" s="4" customFormat="1" x14ac:dyDescent="0.2">
      <c r="A23" s="30">
        <f>IF(VAST13C!F22&lt;&gt;"",VAST13C!F22,"")</f>
        <v>60</v>
      </c>
      <c r="B23" s="65" t="str">
        <f>IF(VAST13C!G22&lt;&gt;"",VAST13C!G22,"")</f>
        <v/>
      </c>
      <c r="G23" s="10"/>
      <c r="H23" s="10"/>
    </row>
    <row r="24" spans="1:8" s="4" customFormat="1" x14ac:dyDescent="0.2">
      <c r="A24" s="30">
        <f>IF(VAST13C!F23&lt;&gt;"",VAST13C!F23,"")</f>
        <v>75</v>
      </c>
      <c r="B24" s="65" t="str">
        <f>IF(VAST13C!G23&lt;&gt;"",VAST13C!G23,"")</f>
        <v/>
      </c>
      <c r="G24" s="10"/>
      <c r="H24" s="10"/>
    </row>
    <row r="25" spans="1:8" s="4" customFormat="1" x14ac:dyDescent="0.2">
      <c r="A25" s="30">
        <f>IF(VAST13C!F24&lt;&gt;"",VAST13C!F24,"")</f>
        <v>90</v>
      </c>
      <c r="B25" s="65" t="str">
        <f>IF(VAST13C!G24&lt;&gt;"",VAST13C!G24,"")</f>
        <v/>
      </c>
      <c r="E25" s="10"/>
      <c r="F25" s="10"/>
      <c r="G25" s="10"/>
      <c r="H25" s="10"/>
    </row>
    <row r="26" spans="1:8" s="4" customFormat="1" x14ac:dyDescent="0.2">
      <c r="A26" s="30">
        <f>IF(VAST13C!F25&lt;&gt;"",VAST13C!F25,"")</f>
        <v>105</v>
      </c>
      <c r="B26" s="65" t="str">
        <f>IF(VAST13C!G25&lt;&gt;"",VAST13C!G25,"")</f>
        <v/>
      </c>
      <c r="E26" s="10"/>
      <c r="F26" s="10"/>
      <c r="G26" s="10"/>
      <c r="H26" s="10"/>
    </row>
    <row r="27" spans="1:8" s="4" customFormat="1" x14ac:dyDescent="0.2">
      <c r="A27" s="30">
        <f>IF(VAST13C!F26&lt;&gt;"",VAST13C!F26,"")</f>
        <v>120</v>
      </c>
      <c r="B27" s="65" t="str">
        <f>IF(VAST13C!G26&lt;&gt;"",VAST13C!G26,"")</f>
        <v/>
      </c>
      <c r="E27" s="11"/>
      <c r="F27" s="11"/>
      <c r="G27" s="10"/>
      <c r="H27" s="10"/>
    </row>
    <row r="28" spans="1:8" s="4" customFormat="1" x14ac:dyDescent="0.2">
      <c r="A28" s="30">
        <f>IF(VAST13C!F27&lt;&gt;"",VAST13C!F27,"")</f>
        <v>135</v>
      </c>
      <c r="B28" s="65" t="str">
        <f>IF(VAST13C!G27&lt;&gt;"",VAST13C!G27,"")</f>
        <v/>
      </c>
      <c r="E28" s="11"/>
      <c r="F28" s="11"/>
      <c r="G28" s="10"/>
      <c r="H28" s="10"/>
    </row>
    <row r="29" spans="1:8" s="4" customFormat="1" x14ac:dyDescent="0.2">
      <c r="A29" s="30">
        <f>IF(VAST13C!F28&lt;&gt;"",VAST13C!F28,"")</f>
        <v>150</v>
      </c>
      <c r="B29" s="65" t="str">
        <f>IF(VAST13C!G28&lt;&gt;"",VAST13C!G28,"")</f>
        <v/>
      </c>
      <c r="E29" s="11"/>
      <c r="F29" s="11"/>
      <c r="G29" s="10"/>
      <c r="H29" s="10"/>
    </row>
    <row r="30" spans="1:8" s="4" customFormat="1" x14ac:dyDescent="0.2">
      <c r="A30" s="30">
        <f>IF(VAST13C!F29&lt;&gt;"",VAST13C!F29,"")</f>
        <v>165</v>
      </c>
      <c r="B30" s="65" t="str">
        <f>IF(VAST13C!G29&lt;&gt;"",VAST13C!G29,"")</f>
        <v/>
      </c>
      <c r="E30" s="11"/>
      <c r="F30" s="11"/>
      <c r="G30" s="10"/>
      <c r="H30" s="10"/>
    </row>
    <row r="31" spans="1:8" s="4" customFormat="1" x14ac:dyDescent="0.2">
      <c r="A31" s="30">
        <f>IF(VAST13C!F30&lt;&gt;"",VAST13C!F30,"")</f>
        <v>180</v>
      </c>
      <c r="B31" s="65" t="str">
        <f>IF(VAST13C!G30&lt;&gt;"",VAST13C!G30,"")</f>
        <v/>
      </c>
      <c r="F31" s="10"/>
      <c r="G31" s="10"/>
    </row>
    <row r="32" spans="1:8" s="4" customFormat="1" x14ac:dyDescent="0.2">
      <c r="A32" s="30">
        <f>IF(VAST13C!F31&lt;&gt;"",VAST13C!F31,"")</f>
        <v>195</v>
      </c>
      <c r="B32" s="65" t="str">
        <f>IF(VAST13C!G31&lt;&gt;"",VAST13C!G31,"")</f>
        <v/>
      </c>
      <c r="F32" s="16"/>
      <c r="G32" s="20"/>
      <c r="H32" s="16"/>
    </row>
    <row r="33" spans="1:10" s="4" customFormat="1" x14ac:dyDescent="0.2">
      <c r="A33" s="30">
        <f>IF(VAST13C!F32&lt;&gt;"",VAST13C!F32,"")</f>
        <v>210</v>
      </c>
      <c r="B33" s="65" t="str">
        <f>IF(VAST13C!G32&lt;&gt;"",VAST13C!G32,"")</f>
        <v/>
      </c>
      <c r="C33" s="16"/>
    </row>
    <row r="34" spans="1:10" s="4" customFormat="1" x14ac:dyDescent="0.2">
      <c r="A34" s="30">
        <f>IF(VAST13C!F33&lt;&gt;"",VAST13C!F33,"")</f>
        <v>225</v>
      </c>
      <c r="B34" s="65" t="str">
        <f>IF(VAST13C!G33&lt;&gt;"",VAST13C!G33,"")</f>
        <v/>
      </c>
      <c r="C34" s="20"/>
    </row>
    <row r="35" spans="1:10" s="4" customFormat="1" x14ac:dyDescent="0.2">
      <c r="A35" s="30">
        <f>IF(VAST13C!F34&lt;&gt;"",VAST13C!F34,"")</f>
        <v>240</v>
      </c>
      <c r="B35" s="65" t="str">
        <f>IF(VAST13C!G34&lt;&gt;"",VAST13C!G34,"")</f>
        <v/>
      </c>
      <c r="C35" s="20"/>
    </row>
    <row r="36" spans="1:10" s="4" customFormat="1" x14ac:dyDescent="0.2">
      <c r="A36" s="30"/>
      <c r="B36" s="30"/>
      <c r="C36" s="20"/>
    </row>
    <row r="37" spans="1:10" s="4" customFormat="1" x14ac:dyDescent="0.2">
      <c r="B37" s="12" t="s">
        <v>19</v>
      </c>
      <c r="C37" s="11"/>
      <c r="F37" s="16"/>
      <c r="G37" s="16"/>
      <c r="H37" s="16"/>
    </row>
    <row r="38" spans="1:10" s="4" customFormat="1" ht="13.5" thickBot="1" x14ac:dyDescent="0.25">
      <c r="B38" s="13"/>
      <c r="C38" s="13"/>
      <c r="D38" s="10"/>
    </row>
    <row r="39" spans="1:10" s="4" customFormat="1" x14ac:dyDescent="0.2">
      <c r="B39" s="17"/>
      <c r="C39" s="19" t="s">
        <v>23</v>
      </c>
      <c r="D39" s="10"/>
    </row>
    <row r="40" spans="1:10" s="4" customFormat="1" x14ac:dyDescent="0.2">
      <c r="B40" s="21" t="s">
        <v>24</v>
      </c>
      <c r="C40" s="24">
        <f>VAST13C!K7</f>
        <v>3.7737009247521041</v>
      </c>
      <c r="D40" s="10"/>
    </row>
    <row r="41" spans="1:10" s="4" customFormat="1" ht="15" thickBot="1" x14ac:dyDescent="0.3">
      <c r="B41" s="25" t="s">
        <v>47</v>
      </c>
      <c r="C41" s="27">
        <f>VAST13C!N10</f>
        <v>61.103774650494529</v>
      </c>
      <c r="D41" s="10"/>
    </row>
    <row r="42" spans="1:10" s="4" customFormat="1" x14ac:dyDescent="0.2">
      <c r="B42" s="16" t="s">
        <v>26</v>
      </c>
      <c r="C42" s="16"/>
      <c r="D42" s="10"/>
    </row>
    <row r="43" spans="1:10" s="4" customFormat="1" x14ac:dyDescent="0.2"/>
    <row r="44" spans="1:10" s="4" customFormat="1" x14ac:dyDescent="0.2"/>
    <row r="45" spans="1:10" s="4" customFormat="1" x14ac:dyDescent="0.2">
      <c r="H45" s="50"/>
      <c r="J45" s="6"/>
    </row>
    <row r="46" spans="1:10" x14ac:dyDescent="0.2">
      <c r="I46"/>
      <c r="J46"/>
    </row>
    <row r="47" spans="1:10" x14ac:dyDescent="0.2">
      <c r="A47" s="233" t="s">
        <v>172</v>
      </c>
      <c r="B47" s="233"/>
      <c r="C47" s="233"/>
      <c r="D47" s="233"/>
      <c r="E47" s="233"/>
      <c r="F47" s="233"/>
      <c r="G47" s="233"/>
      <c r="H47" s="233"/>
      <c r="I47"/>
      <c r="J47"/>
    </row>
    <row r="48" spans="1:10" x14ac:dyDescent="0.2">
      <c r="A48" s="232" t="e">
        <f>Data_Naar_LIS_13C!M3</f>
        <v>#N/A</v>
      </c>
      <c r="B48" s="232"/>
      <c r="C48" s="232"/>
      <c r="D48" s="232"/>
      <c r="E48" s="232"/>
      <c r="F48" s="232"/>
      <c r="G48" s="232"/>
      <c r="H48" s="50"/>
      <c r="I48"/>
      <c r="J48"/>
    </row>
    <row r="49" spans="1:11" ht="12.75" customHeight="1" x14ac:dyDescent="0.2">
      <c r="A49" s="50"/>
      <c r="B49" s="50"/>
      <c r="C49" s="50"/>
      <c r="D49" s="50"/>
      <c r="E49" s="50"/>
      <c r="F49" s="50"/>
      <c r="G49" s="50"/>
      <c r="H49" s="50"/>
      <c r="I49"/>
      <c r="J49"/>
    </row>
    <row r="50" spans="1:11" x14ac:dyDescent="0.2">
      <c r="A50" s="233" t="s">
        <v>173</v>
      </c>
      <c r="B50" s="233"/>
      <c r="C50" s="233"/>
      <c r="D50" s="233"/>
      <c r="E50" s="233"/>
      <c r="F50" s="233"/>
      <c r="G50" s="233"/>
      <c r="H50" s="233"/>
      <c r="I50"/>
      <c r="J50"/>
    </row>
    <row r="51" spans="1:11" x14ac:dyDescent="0.2">
      <c r="A51" s="234" t="str">
        <f>VAST13C!A42</f>
        <v>Geen.</v>
      </c>
      <c r="B51" s="234"/>
      <c r="C51" s="234"/>
      <c r="D51" s="234"/>
      <c r="E51" s="234"/>
      <c r="F51" s="234"/>
      <c r="G51" s="234"/>
      <c r="H51" s="234"/>
      <c r="I51"/>
      <c r="J51"/>
    </row>
    <row r="52" spans="1:11" x14ac:dyDescent="0.2">
      <c r="A52" s="234"/>
      <c r="B52" s="234"/>
      <c r="C52" s="234"/>
      <c r="D52" s="234"/>
      <c r="E52" s="234"/>
      <c r="F52" s="234"/>
      <c r="G52" s="234"/>
      <c r="H52" s="234"/>
      <c r="I52"/>
      <c r="J52"/>
    </row>
    <row r="53" spans="1:11" x14ac:dyDescent="0.2">
      <c r="A53" s="234"/>
      <c r="B53" s="234"/>
      <c r="C53" s="234"/>
      <c r="D53" s="234"/>
      <c r="E53" s="234"/>
      <c r="F53" s="234"/>
      <c r="G53" s="234"/>
      <c r="H53" s="234"/>
      <c r="I53"/>
      <c r="J53"/>
    </row>
    <row r="54" spans="1:11" x14ac:dyDescent="0.2">
      <c r="A54" s="234"/>
      <c r="B54" s="234"/>
      <c r="C54" s="234"/>
      <c r="D54" s="234"/>
      <c r="E54" s="234"/>
      <c r="F54" s="234"/>
      <c r="G54" s="234"/>
      <c r="H54" s="234"/>
      <c r="I54"/>
      <c r="J54"/>
    </row>
    <row r="55" spans="1:11" x14ac:dyDescent="0.2">
      <c r="A55" s="234"/>
      <c r="B55" s="234"/>
      <c r="C55" s="234"/>
      <c r="D55" s="234"/>
      <c r="E55" s="234"/>
      <c r="F55" s="234"/>
      <c r="G55" s="234"/>
      <c r="H55" s="234"/>
      <c r="I55"/>
      <c r="J55"/>
    </row>
    <row r="56" spans="1:11" x14ac:dyDescent="0.2">
      <c r="A56" s="234"/>
      <c r="B56" s="234"/>
      <c r="C56" s="234"/>
      <c r="D56" s="234"/>
      <c r="E56" s="234"/>
      <c r="F56" s="234"/>
      <c r="G56" s="234"/>
      <c r="H56" s="234"/>
      <c r="I56"/>
      <c r="J56"/>
      <c r="K56"/>
    </row>
    <row r="57" spans="1:11" customFormat="1" x14ac:dyDescent="0.2">
      <c r="A57" s="234"/>
      <c r="B57" s="234"/>
      <c r="C57" s="234"/>
      <c r="D57" s="234"/>
      <c r="E57" s="234"/>
      <c r="F57" s="234"/>
      <c r="G57" s="234"/>
      <c r="H57" s="234"/>
    </row>
    <row r="58" spans="1:11" customFormat="1" x14ac:dyDescent="0.2">
      <c r="A58" s="202" t="s">
        <v>161</v>
      </c>
      <c r="B58" s="203"/>
      <c r="C58" s="203"/>
      <c r="D58" s="204">
        <f ca="1">NOW()</f>
        <v>46288.607371527774</v>
      </c>
      <c r="E58" s="203"/>
      <c r="F58" s="203"/>
      <c r="G58" s="203"/>
      <c r="H58" s="205" t="s">
        <v>162</v>
      </c>
    </row>
    <row r="59" spans="1:11" customFormat="1" x14ac:dyDescent="0.2">
      <c r="A59" s="201" t="s">
        <v>251</v>
      </c>
      <c r="B59" s="36"/>
      <c r="C59" s="36"/>
      <c r="D59" s="36"/>
      <c r="E59" s="36"/>
      <c r="F59" s="36"/>
      <c r="G59" s="36"/>
      <c r="H59" s="36"/>
    </row>
    <row r="60" spans="1:11" customFormat="1" x14ac:dyDescent="0.2"/>
    <row r="61" spans="1:11" customForma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</row>
    <row r="62" spans="1:11" customForma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</row>
    <row r="63" spans="1:11" customForma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</row>
    <row r="64" spans="1:11" customForma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</sheetData>
  <mergeCells count="4">
    <mergeCell ref="A51:H57"/>
    <mergeCell ref="A48:G48"/>
    <mergeCell ref="A50:H50"/>
    <mergeCell ref="A47:H47"/>
  </mergeCells>
  <printOptions horizontalCentered="1"/>
  <pageMargins left="0.70866141732283472" right="0.70866141732283472" top="0.19685039370078741" bottom="0.98425196850393704" header="0.31496062992125984" footer="0.31496062992125984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8" shapeId="8214" r:id="rId4">
          <objectPr defaultSize="0" r:id="rId5">
            <anchor moveWithCells="1" sizeWithCells="1">
              <from>
                <xdr:col>3</xdr:col>
                <xdr:colOff>714375</xdr:colOff>
                <xdr:row>36</xdr:row>
                <xdr:rowOff>152400</xdr:rowOff>
              </from>
              <to>
                <xdr:col>7</xdr:col>
                <xdr:colOff>571500</xdr:colOff>
                <xdr:row>45</xdr:row>
                <xdr:rowOff>123825</xdr:rowOff>
              </to>
            </anchor>
          </objectPr>
        </oleObject>
      </mc:Choice>
      <mc:Fallback>
        <oleObject progId="Word.Document.8" shapeId="8214" r:id="rId4"/>
      </mc:Fallback>
    </mc:AlternateContent>
    <mc:AlternateContent xmlns:mc="http://schemas.openxmlformats.org/markup-compatibility/2006">
      <mc:Choice Requires="x14">
        <oleObject progId="Word.Document.8" shapeId="8215" r:id="rId6">
          <objectPr defaultSize="0" r:id="rId7">
            <anchor moveWithCells="1" sizeWithCells="1">
              <from>
                <xdr:col>3</xdr:col>
                <xdr:colOff>733425</xdr:colOff>
                <xdr:row>28</xdr:row>
                <xdr:rowOff>104775</xdr:rowOff>
              </from>
              <to>
                <xdr:col>7</xdr:col>
                <xdr:colOff>581025</xdr:colOff>
                <xdr:row>37</xdr:row>
                <xdr:rowOff>114300</xdr:rowOff>
              </to>
            </anchor>
          </objectPr>
        </oleObject>
      </mc:Choice>
      <mc:Fallback>
        <oleObject progId="Word.Document.8" shapeId="8215" r:id="rId6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8"/>
  <dimension ref="A1:O1000"/>
  <sheetViews>
    <sheetView workbookViewId="0">
      <selection activeCell="B1" sqref="B1:B1048576"/>
    </sheetView>
  </sheetViews>
  <sheetFormatPr baseColWidth="10" defaultColWidth="8.85546875" defaultRowHeight="12.75" x14ac:dyDescent="0.2"/>
  <cols>
    <col min="1" max="1" width="16.28515625" bestFit="1" customWidth="1"/>
    <col min="2" max="2" width="9" bestFit="1" customWidth="1"/>
    <col min="3" max="3" width="33" bestFit="1" customWidth="1"/>
    <col min="4" max="4" width="21.42578125" customWidth="1"/>
    <col min="15" max="15" width="23.140625" style="43" bestFit="1" customWidth="1"/>
  </cols>
  <sheetData>
    <row r="1" spans="1:15" s="40" customFormat="1" x14ac:dyDescent="0.2">
      <c r="A1" s="38" t="s">
        <v>63</v>
      </c>
      <c r="B1" s="39" t="s">
        <v>213</v>
      </c>
      <c r="C1" s="39" t="s">
        <v>64</v>
      </c>
      <c r="D1" s="39" t="s">
        <v>205</v>
      </c>
      <c r="E1" s="39" t="s">
        <v>214</v>
      </c>
      <c r="F1" s="39" t="s">
        <v>65</v>
      </c>
      <c r="G1" s="38" t="s">
        <v>66</v>
      </c>
      <c r="H1" s="39" t="s">
        <v>67</v>
      </c>
      <c r="I1" s="39" t="s">
        <v>68</v>
      </c>
      <c r="J1" s="39" t="s">
        <v>69</v>
      </c>
      <c r="K1" s="39" t="s">
        <v>70</v>
      </c>
      <c r="L1" s="39" t="s">
        <v>71</v>
      </c>
      <c r="M1" s="39" t="s">
        <v>91</v>
      </c>
      <c r="N1" s="39" t="s">
        <v>92</v>
      </c>
      <c r="O1" s="49" t="s">
        <v>104</v>
      </c>
    </row>
    <row r="2" spans="1:15" x14ac:dyDescent="0.2">
      <c r="A2" t="str">
        <f>CONCATENATE(B2," ",E2)</f>
        <v>60660775 00 min</v>
      </c>
      <c r="B2">
        <v>60660775</v>
      </c>
      <c r="C2" t="s">
        <v>215</v>
      </c>
      <c r="D2">
        <v>107478093240618</v>
      </c>
      <c r="E2" t="s">
        <v>216</v>
      </c>
      <c r="G2">
        <v>-26.14</v>
      </c>
      <c r="M2">
        <v>20140513</v>
      </c>
      <c r="N2" s="36" t="s">
        <v>217</v>
      </c>
      <c r="O2" s="43">
        <v>202406111200</v>
      </c>
    </row>
    <row r="3" spans="1:15" x14ac:dyDescent="0.2">
      <c r="A3" t="str">
        <f t="shared" ref="A3:A66" si="0">CONCATENATE(B3," ",E3)</f>
        <v>60660775 15 min</v>
      </c>
      <c r="B3">
        <v>60660775</v>
      </c>
      <c r="C3" t="s">
        <v>215</v>
      </c>
      <c r="D3" s="36">
        <v>107478090240618</v>
      </c>
      <c r="E3" s="36" t="s">
        <v>218</v>
      </c>
      <c r="G3">
        <v>-23.4</v>
      </c>
      <c r="M3">
        <v>20140513</v>
      </c>
      <c r="N3" t="s">
        <v>217</v>
      </c>
      <c r="O3" s="43">
        <v>202406111200</v>
      </c>
    </row>
    <row r="4" spans="1:15" x14ac:dyDescent="0.2">
      <c r="A4" t="str">
        <f t="shared" si="0"/>
        <v>60660775 30 min</v>
      </c>
      <c r="B4">
        <v>60660775</v>
      </c>
      <c r="C4" t="s">
        <v>215</v>
      </c>
      <c r="D4">
        <v>107478084240618</v>
      </c>
      <c r="E4" t="s">
        <v>219</v>
      </c>
      <c r="G4">
        <v>-21.19</v>
      </c>
      <c r="M4">
        <v>20140513</v>
      </c>
      <c r="N4" t="s">
        <v>217</v>
      </c>
      <c r="O4" s="43">
        <v>202406111200</v>
      </c>
    </row>
    <row r="5" spans="1:15" x14ac:dyDescent="0.2">
      <c r="A5" t="str">
        <f t="shared" si="0"/>
        <v>60660775 45 min</v>
      </c>
      <c r="B5">
        <v>60660775</v>
      </c>
      <c r="C5" t="s">
        <v>215</v>
      </c>
      <c r="D5">
        <v>107478091240618</v>
      </c>
      <c r="E5" t="s">
        <v>220</v>
      </c>
      <c r="G5">
        <v>-16.149999999999999</v>
      </c>
      <c r="M5">
        <v>20140513</v>
      </c>
      <c r="N5" t="s">
        <v>217</v>
      </c>
      <c r="O5" s="43">
        <v>202406111200</v>
      </c>
    </row>
    <row r="6" spans="1:15" x14ac:dyDescent="0.2">
      <c r="A6" t="str">
        <f t="shared" si="0"/>
        <v>60660775 60 min</v>
      </c>
      <c r="B6">
        <v>60660775</v>
      </c>
      <c r="C6" t="s">
        <v>215</v>
      </c>
      <c r="D6">
        <v>107478085240618</v>
      </c>
      <c r="E6" t="s">
        <v>221</v>
      </c>
      <c r="G6">
        <v>-11.66</v>
      </c>
      <c r="M6">
        <v>20140513</v>
      </c>
      <c r="N6" t="s">
        <v>217</v>
      </c>
      <c r="O6" s="43">
        <v>202406111200</v>
      </c>
    </row>
    <row r="7" spans="1:15" x14ac:dyDescent="0.2">
      <c r="A7" t="str">
        <f t="shared" si="0"/>
        <v>60660775 75 min</v>
      </c>
      <c r="B7">
        <v>60660775</v>
      </c>
      <c r="C7" t="s">
        <v>215</v>
      </c>
      <c r="D7">
        <v>107478095240618</v>
      </c>
      <c r="E7" t="s">
        <v>222</v>
      </c>
      <c r="G7">
        <v>-9.99</v>
      </c>
      <c r="M7">
        <v>20140513</v>
      </c>
      <c r="N7" t="s">
        <v>217</v>
      </c>
      <c r="O7" s="43">
        <v>202406111200</v>
      </c>
    </row>
    <row r="8" spans="1:15" x14ac:dyDescent="0.2">
      <c r="A8" t="str">
        <f t="shared" si="0"/>
        <v>60660775 90 min</v>
      </c>
      <c r="B8">
        <v>60660775</v>
      </c>
      <c r="C8" t="s">
        <v>215</v>
      </c>
      <c r="D8">
        <v>107478086240618</v>
      </c>
      <c r="E8" t="s">
        <v>223</v>
      </c>
      <c r="G8">
        <v>-6.96</v>
      </c>
      <c r="M8">
        <v>20140513</v>
      </c>
      <c r="N8" t="s">
        <v>217</v>
      </c>
      <c r="O8" s="43">
        <v>202406111200</v>
      </c>
    </row>
    <row r="9" spans="1:15" x14ac:dyDescent="0.2">
      <c r="A9" t="str">
        <f t="shared" si="0"/>
        <v>60660775 105 min</v>
      </c>
      <c r="B9">
        <v>60660775</v>
      </c>
      <c r="C9" t="s">
        <v>215</v>
      </c>
      <c r="D9">
        <v>107478096240618</v>
      </c>
      <c r="E9" t="s">
        <v>224</v>
      </c>
      <c r="G9">
        <v>-5.95</v>
      </c>
      <c r="M9">
        <v>20140513</v>
      </c>
      <c r="N9" t="s">
        <v>217</v>
      </c>
      <c r="O9" s="43">
        <v>202406111200</v>
      </c>
    </row>
    <row r="10" spans="1:15" x14ac:dyDescent="0.2">
      <c r="A10" t="str">
        <f t="shared" si="0"/>
        <v>60660775 120 min</v>
      </c>
      <c r="B10">
        <v>60660775</v>
      </c>
      <c r="C10" t="s">
        <v>215</v>
      </c>
      <c r="D10">
        <v>107478087240618</v>
      </c>
      <c r="E10" t="s">
        <v>225</v>
      </c>
      <c r="G10">
        <v>-4.38</v>
      </c>
      <c r="M10">
        <v>20140513</v>
      </c>
      <c r="N10" t="s">
        <v>217</v>
      </c>
      <c r="O10" s="43">
        <v>202406111200</v>
      </c>
    </row>
    <row r="11" spans="1:15" x14ac:dyDescent="0.2">
      <c r="A11" t="str">
        <f t="shared" si="0"/>
        <v>60660775 135 min</v>
      </c>
      <c r="B11">
        <v>60660775</v>
      </c>
      <c r="C11" t="s">
        <v>215</v>
      </c>
      <c r="D11">
        <v>107478097240618</v>
      </c>
      <c r="E11" t="s">
        <v>226</v>
      </c>
      <c r="G11">
        <v>-5.88</v>
      </c>
      <c r="M11">
        <v>20140513</v>
      </c>
      <c r="N11" t="s">
        <v>217</v>
      </c>
      <c r="O11" s="43">
        <v>202406111200</v>
      </c>
    </row>
    <row r="12" spans="1:15" x14ac:dyDescent="0.2">
      <c r="A12" t="str">
        <f t="shared" si="0"/>
        <v>60660775 150 min</v>
      </c>
      <c r="B12">
        <v>60660775</v>
      </c>
      <c r="C12" t="s">
        <v>215</v>
      </c>
      <c r="D12">
        <v>107478088240618</v>
      </c>
      <c r="E12" t="s">
        <v>227</v>
      </c>
      <c r="G12">
        <v>-6.45</v>
      </c>
      <c r="M12">
        <v>20140513</v>
      </c>
      <c r="N12" t="s">
        <v>217</v>
      </c>
      <c r="O12" s="43">
        <v>202406111200</v>
      </c>
    </row>
    <row r="13" spans="1:15" x14ac:dyDescent="0.2">
      <c r="A13" t="str">
        <f t="shared" si="0"/>
        <v>60660775 165 min</v>
      </c>
      <c r="B13">
        <v>60660775</v>
      </c>
      <c r="C13" t="s">
        <v>215</v>
      </c>
      <c r="D13">
        <v>107478098240618</v>
      </c>
      <c r="E13" t="s">
        <v>228</v>
      </c>
      <c r="G13">
        <v>-8.1300000000000008</v>
      </c>
      <c r="M13">
        <v>20140513</v>
      </c>
      <c r="N13" t="s">
        <v>217</v>
      </c>
      <c r="O13" s="43">
        <v>202406111200</v>
      </c>
    </row>
    <row r="14" spans="1:15" x14ac:dyDescent="0.2">
      <c r="A14" t="str">
        <f t="shared" si="0"/>
        <v>60660775 180 min</v>
      </c>
      <c r="B14">
        <v>60660775</v>
      </c>
      <c r="C14" t="s">
        <v>215</v>
      </c>
      <c r="D14">
        <v>107478089240618</v>
      </c>
      <c r="E14" t="s">
        <v>229</v>
      </c>
      <c r="G14">
        <v>-7.96</v>
      </c>
      <c r="M14">
        <v>20140513</v>
      </c>
      <c r="N14" t="s">
        <v>217</v>
      </c>
      <c r="O14" s="43">
        <v>202406111200</v>
      </c>
    </row>
    <row r="15" spans="1:15" x14ac:dyDescent="0.2">
      <c r="A15" t="str">
        <f t="shared" si="0"/>
        <v>60660775 195 min</v>
      </c>
      <c r="B15">
        <v>60660775</v>
      </c>
      <c r="C15" t="s">
        <v>215</v>
      </c>
      <c r="D15">
        <v>107478099240618</v>
      </c>
      <c r="E15" t="s">
        <v>230</v>
      </c>
      <c r="G15">
        <v>-10.43</v>
      </c>
      <c r="M15">
        <v>20140513</v>
      </c>
      <c r="N15" t="s">
        <v>217</v>
      </c>
      <c r="O15" s="43">
        <v>202406111200</v>
      </c>
    </row>
    <row r="16" spans="1:15" x14ac:dyDescent="0.2">
      <c r="A16" t="str">
        <f t="shared" si="0"/>
        <v>60660775 210 min</v>
      </c>
      <c r="B16">
        <v>60660775</v>
      </c>
      <c r="C16" t="s">
        <v>215</v>
      </c>
      <c r="D16">
        <v>107478094240618</v>
      </c>
      <c r="E16" t="s">
        <v>231</v>
      </c>
      <c r="G16">
        <v>-11.58</v>
      </c>
      <c r="M16">
        <v>20140513</v>
      </c>
      <c r="N16" t="s">
        <v>217</v>
      </c>
      <c r="O16" s="43">
        <v>202406111200</v>
      </c>
    </row>
    <row r="17" spans="1:15" x14ac:dyDescent="0.2">
      <c r="A17" t="str">
        <f t="shared" si="0"/>
        <v>60660775 225 min</v>
      </c>
      <c r="B17">
        <v>60660775</v>
      </c>
      <c r="C17" t="s">
        <v>215</v>
      </c>
      <c r="D17">
        <v>107478100240618</v>
      </c>
      <c r="E17" t="s">
        <v>232</v>
      </c>
      <c r="G17">
        <v>-13.36</v>
      </c>
      <c r="M17">
        <v>20140513</v>
      </c>
      <c r="N17" t="s">
        <v>217</v>
      </c>
      <c r="O17" s="43">
        <v>202406111200</v>
      </c>
    </row>
    <row r="18" spans="1:15" x14ac:dyDescent="0.2">
      <c r="A18" t="str">
        <f t="shared" si="0"/>
        <v>60660775 240 min</v>
      </c>
      <c r="B18">
        <v>60660775</v>
      </c>
      <c r="C18" t="s">
        <v>215</v>
      </c>
      <c r="D18">
        <v>107478092240618</v>
      </c>
      <c r="E18" t="s">
        <v>233</v>
      </c>
      <c r="G18">
        <v>-14.86</v>
      </c>
      <c r="M18">
        <v>20140513</v>
      </c>
      <c r="N18" t="s">
        <v>217</v>
      </c>
      <c r="O18" s="43">
        <v>202406111200</v>
      </c>
    </row>
    <row r="19" spans="1:15" x14ac:dyDescent="0.2">
      <c r="A19" t="str">
        <f t="shared" si="0"/>
        <v>66107266 0 min</v>
      </c>
      <c r="B19">
        <v>66107266</v>
      </c>
      <c r="C19" t="s">
        <v>234</v>
      </c>
      <c r="D19">
        <v>107662839240618</v>
      </c>
      <c r="E19" t="s">
        <v>235</v>
      </c>
      <c r="M19">
        <v>19940314</v>
      </c>
      <c r="N19" t="s">
        <v>217</v>
      </c>
      <c r="O19" s="43">
        <v>202406180114</v>
      </c>
    </row>
    <row r="20" spans="1:15" x14ac:dyDescent="0.2">
      <c r="A20" t="str">
        <f t="shared" si="0"/>
        <v>66107266 00 min</v>
      </c>
      <c r="B20">
        <v>66107266</v>
      </c>
      <c r="C20" t="s">
        <v>234</v>
      </c>
      <c r="D20">
        <v>107662849240618</v>
      </c>
      <c r="E20" t="s">
        <v>216</v>
      </c>
      <c r="M20">
        <v>19940314</v>
      </c>
      <c r="N20" t="s">
        <v>217</v>
      </c>
      <c r="O20" s="43">
        <v>202406180114</v>
      </c>
    </row>
    <row r="21" spans="1:15" x14ac:dyDescent="0.2">
      <c r="A21" t="str">
        <f t="shared" si="0"/>
        <v>66107266 15 min</v>
      </c>
      <c r="B21">
        <v>66107266</v>
      </c>
      <c r="C21" t="s">
        <v>234</v>
      </c>
      <c r="D21">
        <v>107662846240618</v>
      </c>
      <c r="E21" t="s">
        <v>218</v>
      </c>
      <c r="M21">
        <v>19940314</v>
      </c>
      <c r="N21" t="s">
        <v>217</v>
      </c>
      <c r="O21" s="43">
        <v>202406180114</v>
      </c>
    </row>
    <row r="22" spans="1:15" x14ac:dyDescent="0.2">
      <c r="A22" t="str">
        <f t="shared" si="0"/>
        <v>66107266 30 min</v>
      </c>
      <c r="B22">
        <v>66107266</v>
      </c>
      <c r="C22" t="s">
        <v>234</v>
      </c>
      <c r="D22">
        <v>107662840240618</v>
      </c>
      <c r="E22" t="s">
        <v>219</v>
      </c>
      <c r="M22">
        <v>19940314</v>
      </c>
      <c r="N22" t="s">
        <v>217</v>
      </c>
      <c r="O22" s="43">
        <v>202406180114</v>
      </c>
    </row>
    <row r="23" spans="1:15" x14ac:dyDescent="0.2">
      <c r="A23" t="str">
        <f t="shared" si="0"/>
        <v>66107266 45 min</v>
      </c>
      <c r="B23">
        <v>66107266</v>
      </c>
      <c r="C23" t="s">
        <v>234</v>
      </c>
      <c r="D23">
        <v>107662847240618</v>
      </c>
      <c r="E23" t="s">
        <v>220</v>
      </c>
      <c r="M23">
        <v>19940314</v>
      </c>
      <c r="N23" t="s">
        <v>217</v>
      </c>
      <c r="O23" s="43">
        <v>202406180114</v>
      </c>
    </row>
    <row r="24" spans="1:15" x14ac:dyDescent="0.2">
      <c r="A24" t="str">
        <f t="shared" si="0"/>
        <v>66107266 60 min</v>
      </c>
      <c r="B24">
        <v>66107266</v>
      </c>
      <c r="C24" t="s">
        <v>234</v>
      </c>
      <c r="D24">
        <v>107662841240618</v>
      </c>
      <c r="E24" t="s">
        <v>221</v>
      </c>
      <c r="M24">
        <v>19940314</v>
      </c>
      <c r="N24" t="s">
        <v>217</v>
      </c>
      <c r="O24" s="43">
        <v>202406180114</v>
      </c>
    </row>
    <row r="25" spans="1:15" x14ac:dyDescent="0.2">
      <c r="A25" t="str">
        <f t="shared" si="0"/>
        <v>66107266 75 min</v>
      </c>
      <c r="B25">
        <v>66107266</v>
      </c>
      <c r="C25" t="s">
        <v>234</v>
      </c>
      <c r="D25">
        <v>107662851240618</v>
      </c>
      <c r="E25" t="s">
        <v>222</v>
      </c>
      <c r="M25">
        <v>19940314</v>
      </c>
      <c r="N25" t="s">
        <v>217</v>
      </c>
      <c r="O25" s="43">
        <v>202406180114</v>
      </c>
    </row>
    <row r="26" spans="1:15" x14ac:dyDescent="0.2">
      <c r="A26" t="str">
        <f t="shared" si="0"/>
        <v>66107266 90 min</v>
      </c>
      <c r="B26">
        <v>66107266</v>
      </c>
      <c r="C26" t="s">
        <v>234</v>
      </c>
      <c r="D26">
        <v>107662842240618</v>
      </c>
      <c r="E26" t="s">
        <v>223</v>
      </c>
      <c r="M26">
        <v>19940314</v>
      </c>
      <c r="N26" t="s">
        <v>217</v>
      </c>
      <c r="O26" s="43">
        <v>202406180114</v>
      </c>
    </row>
    <row r="27" spans="1:15" x14ac:dyDescent="0.2">
      <c r="A27" t="str">
        <f t="shared" si="0"/>
        <v>66107266 105 min</v>
      </c>
      <c r="B27">
        <v>66107266</v>
      </c>
      <c r="C27" t="s">
        <v>234</v>
      </c>
      <c r="D27">
        <v>107662852240618</v>
      </c>
      <c r="E27" t="s">
        <v>224</v>
      </c>
      <c r="M27">
        <v>19940314</v>
      </c>
      <c r="N27" t="s">
        <v>217</v>
      </c>
      <c r="O27" s="43">
        <v>202406180114</v>
      </c>
    </row>
    <row r="28" spans="1:15" x14ac:dyDescent="0.2">
      <c r="A28" t="str">
        <f t="shared" si="0"/>
        <v>66107266 120 min</v>
      </c>
      <c r="B28">
        <v>66107266</v>
      </c>
      <c r="C28" t="s">
        <v>234</v>
      </c>
      <c r="D28">
        <v>107662843240618</v>
      </c>
      <c r="E28" t="s">
        <v>225</v>
      </c>
      <c r="M28">
        <v>19940314</v>
      </c>
      <c r="N28" t="s">
        <v>217</v>
      </c>
      <c r="O28" s="43">
        <v>202406180114</v>
      </c>
    </row>
    <row r="29" spans="1:15" x14ac:dyDescent="0.2">
      <c r="A29" t="str">
        <f t="shared" si="0"/>
        <v>66107266 135 min</v>
      </c>
      <c r="B29">
        <v>66107266</v>
      </c>
      <c r="C29" t="s">
        <v>234</v>
      </c>
      <c r="D29">
        <v>107662853240618</v>
      </c>
      <c r="E29" t="s">
        <v>226</v>
      </c>
      <c r="M29">
        <v>19940314</v>
      </c>
      <c r="N29" t="s">
        <v>217</v>
      </c>
      <c r="O29" s="43">
        <v>202406180114</v>
      </c>
    </row>
    <row r="30" spans="1:15" x14ac:dyDescent="0.2">
      <c r="A30" t="str">
        <f t="shared" si="0"/>
        <v>66107266 150 min</v>
      </c>
      <c r="B30">
        <v>66107266</v>
      </c>
      <c r="C30" t="s">
        <v>234</v>
      </c>
      <c r="D30">
        <v>107662844240618</v>
      </c>
      <c r="E30" t="s">
        <v>227</v>
      </c>
      <c r="M30">
        <v>19940314</v>
      </c>
      <c r="N30" t="s">
        <v>217</v>
      </c>
      <c r="O30" s="43">
        <v>202406180114</v>
      </c>
    </row>
    <row r="31" spans="1:15" x14ac:dyDescent="0.2">
      <c r="A31" t="str">
        <f t="shared" si="0"/>
        <v>66107266 165 min</v>
      </c>
      <c r="B31">
        <v>66107266</v>
      </c>
      <c r="C31" t="s">
        <v>234</v>
      </c>
      <c r="D31">
        <v>107662854240618</v>
      </c>
      <c r="E31" t="s">
        <v>228</v>
      </c>
      <c r="M31">
        <v>19940314</v>
      </c>
      <c r="N31" t="s">
        <v>217</v>
      </c>
      <c r="O31" s="43">
        <v>202406180114</v>
      </c>
    </row>
    <row r="32" spans="1:15" x14ac:dyDescent="0.2">
      <c r="A32" t="str">
        <f t="shared" si="0"/>
        <v>66107266 180 min</v>
      </c>
      <c r="B32">
        <v>66107266</v>
      </c>
      <c r="C32" t="s">
        <v>234</v>
      </c>
      <c r="D32">
        <v>107662845240618</v>
      </c>
      <c r="E32" t="s">
        <v>229</v>
      </c>
      <c r="M32">
        <v>19940314</v>
      </c>
      <c r="N32" t="s">
        <v>217</v>
      </c>
      <c r="O32" s="43">
        <v>202406180114</v>
      </c>
    </row>
    <row r="33" spans="1:15" x14ac:dyDescent="0.2">
      <c r="A33" t="str">
        <f t="shared" si="0"/>
        <v>66107266 195 min</v>
      </c>
      <c r="B33">
        <v>66107266</v>
      </c>
      <c r="C33" t="s">
        <v>234</v>
      </c>
      <c r="D33">
        <v>107662855240618</v>
      </c>
      <c r="E33" t="s">
        <v>230</v>
      </c>
      <c r="M33">
        <v>19940314</v>
      </c>
      <c r="N33" t="s">
        <v>217</v>
      </c>
      <c r="O33" s="43">
        <v>202406180114</v>
      </c>
    </row>
    <row r="34" spans="1:15" x14ac:dyDescent="0.2">
      <c r="A34" t="str">
        <f t="shared" si="0"/>
        <v>66107266 210 min</v>
      </c>
      <c r="B34">
        <v>66107266</v>
      </c>
      <c r="C34" t="s">
        <v>234</v>
      </c>
      <c r="D34">
        <v>107662850240618</v>
      </c>
      <c r="E34" t="s">
        <v>231</v>
      </c>
      <c r="M34">
        <v>19940314</v>
      </c>
      <c r="N34" t="s">
        <v>217</v>
      </c>
      <c r="O34" s="43">
        <v>202406180114</v>
      </c>
    </row>
    <row r="35" spans="1:15" x14ac:dyDescent="0.2">
      <c r="A35" t="str">
        <f t="shared" si="0"/>
        <v>66107266 225 min</v>
      </c>
      <c r="B35">
        <v>66107266</v>
      </c>
      <c r="C35" t="s">
        <v>234</v>
      </c>
      <c r="D35">
        <v>107662856240618</v>
      </c>
      <c r="E35" t="s">
        <v>232</v>
      </c>
      <c r="M35">
        <v>19940314</v>
      </c>
      <c r="N35" t="s">
        <v>217</v>
      </c>
      <c r="O35" s="43">
        <v>202406180114</v>
      </c>
    </row>
    <row r="36" spans="1:15" x14ac:dyDescent="0.2">
      <c r="A36" t="str">
        <f t="shared" si="0"/>
        <v>66107266 240 min</v>
      </c>
      <c r="B36">
        <v>66107266</v>
      </c>
      <c r="C36" t="s">
        <v>234</v>
      </c>
      <c r="D36">
        <v>107662848240618</v>
      </c>
      <c r="E36" t="s">
        <v>233</v>
      </c>
      <c r="M36">
        <v>19940314</v>
      </c>
      <c r="N36" t="s">
        <v>217</v>
      </c>
      <c r="O36" s="43">
        <v>202406180114</v>
      </c>
    </row>
    <row r="37" spans="1:15" x14ac:dyDescent="0.2">
      <c r="A37" t="str">
        <f t="shared" si="0"/>
        <v>63746598 0 min</v>
      </c>
      <c r="B37">
        <v>63746598</v>
      </c>
      <c r="C37" t="s">
        <v>236</v>
      </c>
      <c r="D37">
        <v>107606361240618</v>
      </c>
      <c r="E37" t="s">
        <v>235</v>
      </c>
      <c r="M37">
        <v>19971130</v>
      </c>
      <c r="N37" t="s">
        <v>217</v>
      </c>
      <c r="O37" s="43">
        <v>202406180121</v>
      </c>
    </row>
    <row r="38" spans="1:15" x14ac:dyDescent="0.2">
      <c r="A38" t="str">
        <f t="shared" si="0"/>
        <v>63746598 00 min</v>
      </c>
      <c r="B38">
        <v>63746598</v>
      </c>
      <c r="C38" t="s">
        <v>236</v>
      </c>
      <c r="D38">
        <v>107606371240618</v>
      </c>
      <c r="E38" t="s">
        <v>216</v>
      </c>
      <c r="M38">
        <v>19971130</v>
      </c>
      <c r="N38" t="s">
        <v>217</v>
      </c>
      <c r="O38" s="43">
        <v>202406180121</v>
      </c>
    </row>
    <row r="39" spans="1:15" x14ac:dyDescent="0.2">
      <c r="A39" t="str">
        <f t="shared" si="0"/>
        <v>63746598 15 min</v>
      </c>
      <c r="B39">
        <v>63746598</v>
      </c>
      <c r="C39" t="s">
        <v>236</v>
      </c>
      <c r="D39">
        <v>107606368240618</v>
      </c>
      <c r="E39" t="s">
        <v>218</v>
      </c>
      <c r="M39">
        <v>19971130</v>
      </c>
      <c r="N39" t="s">
        <v>217</v>
      </c>
      <c r="O39" s="43">
        <v>202406180121</v>
      </c>
    </row>
    <row r="40" spans="1:15" x14ac:dyDescent="0.2">
      <c r="A40" t="str">
        <f t="shared" si="0"/>
        <v>63746598 30 min</v>
      </c>
      <c r="B40">
        <v>63746598</v>
      </c>
      <c r="C40" t="s">
        <v>236</v>
      </c>
      <c r="D40">
        <v>107606362240618</v>
      </c>
      <c r="E40" t="s">
        <v>219</v>
      </c>
      <c r="M40">
        <v>19971130</v>
      </c>
      <c r="N40" t="s">
        <v>217</v>
      </c>
      <c r="O40" s="43">
        <v>202406180121</v>
      </c>
    </row>
    <row r="41" spans="1:15" x14ac:dyDescent="0.2">
      <c r="A41" t="str">
        <f t="shared" si="0"/>
        <v>63746598 45 min</v>
      </c>
      <c r="B41">
        <v>63746598</v>
      </c>
      <c r="C41" t="s">
        <v>236</v>
      </c>
      <c r="D41">
        <v>107606369240618</v>
      </c>
      <c r="E41" t="s">
        <v>220</v>
      </c>
      <c r="M41">
        <v>19971130</v>
      </c>
      <c r="N41" t="s">
        <v>217</v>
      </c>
      <c r="O41" s="43">
        <v>202406180121</v>
      </c>
    </row>
    <row r="42" spans="1:15" x14ac:dyDescent="0.2">
      <c r="A42" t="str">
        <f t="shared" si="0"/>
        <v>63746598 60 min</v>
      </c>
      <c r="B42">
        <v>63746598</v>
      </c>
      <c r="C42" t="s">
        <v>236</v>
      </c>
      <c r="D42">
        <v>107606363240618</v>
      </c>
      <c r="E42" t="s">
        <v>221</v>
      </c>
      <c r="M42">
        <v>19971130</v>
      </c>
      <c r="N42" t="s">
        <v>217</v>
      </c>
      <c r="O42" s="43">
        <v>202406180121</v>
      </c>
    </row>
    <row r="43" spans="1:15" x14ac:dyDescent="0.2">
      <c r="A43" t="str">
        <f t="shared" si="0"/>
        <v>63746598 75 min</v>
      </c>
      <c r="B43">
        <v>63746598</v>
      </c>
      <c r="C43" t="s">
        <v>236</v>
      </c>
      <c r="D43">
        <v>107606373240618</v>
      </c>
      <c r="E43" t="s">
        <v>222</v>
      </c>
      <c r="M43">
        <v>19971130</v>
      </c>
      <c r="N43" t="s">
        <v>217</v>
      </c>
      <c r="O43" s="43">
        <v>202406180121</v>
      </c>
    </row>
    <row r="44" spans="1:15" x14ac:dyDescent="0.2">
      <c r="A44" t="str">
        <f t="shared" si="0"/>
        <v>63746598 90 min</v>
      </c>
      <c r="B44">
        <v>63746598</v>
      </c>
      <c r="C44" t="s">
        <v>236</v>
      </c>
      <c r="D44">
        <v>107606364240618</v>
      </c>
      <c r="E44" t="s">
        <v>223</v>
      </c>
      <c r="M44">
        <v>19971130</v>
      </c>
      <c r="N44" t="s">
        <v>217</v>
      </c>
      <c r="O44" s="43">
        <v>202406180121</v>
      </c>
    </row>
    <row r="45" spans="1:15" x14ac:dyDescent="0.2">
      <c r="A45" t="str">
        <f t="shared" si="0"/>
        <v>63746598 105 min</v>
      </c>
      <c r="B45">
        <v>63746598</v>
      </c>
      <c r="C45" t="s">
        <v>236</v>
      </c>
      <c r="D45">
        <v>107606374240618</v>
      </c>
      <c r="E45" t="s">
        <v>224</v>
      </c>
      <c r="M45">
        <v>19971130</v>
      </c>
      <c r="N45" t="s">
        <v>217</v>
      </c>
      <c r="O45" s="43">
        <v>202406180121</v>
      </c>
    </row>
    <row r="46" spans="1:15" x14ac:dyDescent="0.2">
      <c r="A46" t="str">
        <f t="shared" si="0"/>
        <v>63746598 120 min</v>
      </c>
      <c r="B46">
        <v>63746598</v>
      </c>
      <c r="C46" t="s">
        <v>236</v>
      </c>
      <c r="D46">
        <v>107606365240618</v>
      </c>
      <c r="E46" t="s">
        <v>225</v>
      </c>
      <c r="M46">
        <v>19971130</v>
      </c>
      <c r="N46" t="s">
        <v>217</v>
      </c>
      <c r="O46" s="43">
        <v>202406180121</v>
      </c>
    </row>
    <row r="47" spans="1:15" x14ac:dyDescent="0.2">
      <c r="A47" t="str">
        <f t="shared" si="0"/>
        <v>63746598 135 min</v>
      </c>
      <c r="B47">
        <v>63746598</v>
      </c>
      <c r="C47" t="s">
        <v>236</v>
      </c>
      <c r="D47">
        <v>107606375240618</v>
      </c>
      <c r="E47" t="s">
        <v>226</v>
      </c>
      <c r="M47">
        <v>19971130</v>
      </c>
      <c r="N47" t="s">
        <v>217</v>
      </c>
      <c r="O47" s="43">
        <v>202406180121</v>
      </c>
    </row>
    <row r="48" spans="1:15" x14ac:dyDescent="0.2">
      <c r="A48" t="str">
        <f t="shared" si="0"/>
        <v>63746598 150 min</v>
      </c>
      <c r="B48">
        <v>63746598</v>
      </c>
      <c r="C48" t="s">
        <v>236</v>
      </c>
      <c r="D48">
        <v>107606366240618</v>
      </c>
      <c r="E48" t="s">
        <v>227</v>
      </c>
      <c r="M48">
        <v>19971130</v>
      </c>
      <c r="N48" t="s">
        <v>217</v>
      </c>
      <c r="O48" s="43">
        <v>202406180121</v>
      </c>
    </row>
    <row r="49" spans="1:15" x14ac:dyDescent="0.2">
      <c r="A49" t="str">
        <f t="shared" si="0"/>
        <v>63746598 165 min</v>
      </c>
      <c r="B49">
        <v>63746598</v>
      </c>
      <c r="C49" t="s">
        <v>236</v>
      </c>
      <c r="D49">
        <v>107606376240618</v>
      </c>
      <c r="E49" t="s">
        <v>228</v>
      </c>
      <c r="M49">
        <v>19971130</v>
      </c>
      <c r="N49" t="s">
        <v>217</v>
      </c>
      <c r="O49" s="43">
        <v>202406180121</v>
      </c>
    </row>
    <row r="50" spans="1:15" x14ac:dyDescent="0.2">
      <c r="A50" t="str">
        <f t="shared" si="0"/>
        <v>63746598 180 min</v>
      </c>
      <c r="B50">
        <v>63746598</v>
      </c>
      <c r="C50" t="s">
        <v>236</v>
      </c>
      <c r="D50">
        <v>107606367240618</v>
      </c>
      <c r="E50" t="s">
        <v>229</v>
      </c>
      <c r="M50">
        <v>19971130</v>
      </c>
      <c r="N50" t="s">
        <v>217</v>
      </c>
      <c r="O50" s="43">
        <v>202406180121</v>
      </c>
    </row>
    <row r="51" spans="1:15" x14ac:dyDescent="0.2">
      <c r="A51" t="str">
        <f t="shared" si="0"/>
        <v>63746598 195 min</v>
      </c>
      <c r="B51">
        <v>63746598</v>
      </c>
      <c r="C51" t="s">
        <v>236</v>
      </c>
      <c r="D51">
        <v>107606377240618</v>
      </c>
      <c r="E51" t="s">
        <v>230</v>
      </c>
      <c r="M51">
        <v>19971130</v>
      </c>
      <c r="N51" t="s">
        <v>217</v>
      </c>
      <c r="O51" s="43">
        <v>202406180121</v>
      </c>
    </row>
    <row r="52" spans="1:15" x14ac:dyDescent="0.2">
      <c r="A52" t="str">
        <f t="shared" si="0"/>
        <v>63746598 210 min</v>
      </c>
      <c r="B52">
        <v>63746598</v>
      </c>
      <c r="C52" t="s">
        <v>236</v>
      </c>
      <c r="D52">
        <v>107606372240618</v>
      </c>
      <c r="E52" t="s">
        <v>231</v>
      </c>
      <c r="M52">
        <v>19971130</v>
      </c>
      <c r="N52" t="s">
        <v>217</v>
      </c>
      <c r="O52" s="43">
        <v>202406180121</v>
      </c>
    </row>
    <row r="53" spans="1:15" x14ac:dyDescent="0.2">
      <c r="A53" t="str">
        <f t="shared" si="0"/>
        <v>63746598 225 min</v>
      </c>
      <c r="B53">
        <v>63746598</v>
      </c>
      <c r="C53" t="s">
        <v>236</v>
      </c>
      <c r="D53">
        <v>107606378240618</v>
      </c>
      <c r="E53" t="s">
        <v>232</v>
      </c>
      <c r="M53">
        <v>19971130</v>
      </c>
      <c r="N53" t="s">
        <v>217</v>
      </c>
      <c r="O53" s="43">
        <v>202406180121</v>
      </c>
    </row>
    <row r="54" spans="1:15" x14ac:dyDescent="0.2">
      <c r="A54" t="str">
        <f t="shared" si="0"/>
        <v>63746598 240 min</v>
      </c>
      <c r="B54">
        <v>63746598</v>
      </c>
      <c r="C54" t="s">
        <v>236</v>
      </c>
      <c r="D54">
        <v>107606370240618</v>
      </c>
      <c r="E54" t="s">
        <v>233</v>
      </c>
      <c r="M54">
        <v>19971130</v>
      </c>
      <c r="N54" t="s">
        <v>217</v>
      </c>
      <c r="O54" s="43">
        <v>202406180121</v>
      </c>
    </row>
    <row r="55" spans="1:15" x14ac:dyDescent="0.2">
      <c r="A55" t="str">
        <f t="shared" si="0"/>
        <v>73713489 0 min</v>
      </c>
      <c r="B55">
        <v>73713489</v>
      </c>
      <c r="C55" t="s">
        <v>237</v>
      </c>
      <c r="D55">
        <v>107615270240618</v>
      </c>
      <c r="E55" t="s">
        <v>235</v>
      </c>
      <c r="M55">
        <v>19630608</v>
      </c>
      <c r="N55" t="s">
        <v>217</v>
      </c>
      <c r="O55" s="43">
        <v>202406180141</v>
      </c>
    </row>
    <row r="56" spans="1:15" x14ac:dyDescent="0.2">
      <c r="A56" t="str">
        <f t="shared" si="0"/>
        <v>73713489 00 min</v>
      </c>
      <c r="B56">
        <v>73713489</v>
      </c>
      <c r="C56" t="s">
        <v>237</v>
      </c>
      <c r="D56">
        <v>107615280240618</v>
      </c>
      <c r="E56" t="s">
        <v>216</v>
      </c>
      <c r="M56">
        <v>19630608</v>
      </c>
      <c r="N56" t="s">
        <v>217</v>
      </c>
      <c r="O56" s="43">
        <v>202406180141</v>
      </c>
    </row>
    <row r="57" spans="1:15" x14ac:dyDescent="0.2">
      <c r="A57" t="str">
        <f t="shared" si="0"/>
        <v>73713489 15 min</v>
      </c>
      <c r="B57">
        <v>73713489</v>
      </c>
      <c r="C57" t="s">
        <v>237</v>
      </c>
      <c r="D57">
        <v>107615277240618</v>
      </c>
      <c r="E57" t="s">
        <v>218</v>
      </c>
      <c r="M57">
        <v>19630608</v>
      </c>
      <c r="N57" t="s">
        <v>217</v>
      </c>
      <c r="O57" s="43">
        <v>202406180141</v>
      </c>
    </row>
    <row r="58" spans="1:15" x14ac:dyDescent="0.2">
      <c r="A58" t="str">
        <f t="shared" si="0"/>
        <v>73713489 30 min</v>
      </c>
      <c r="B58">
        <v>73713489</v>
      </c>
      <c r="C58" t="s">
        <v>237</v>
      </c>
      <c r="D58">
        <v>107615271240618</v>
      </c>
      <c r="E58" t="s">
        <v>219</v>
      </c>
      <c r="M58">
        <v>19630608</v>
      </c>
      <c r="N58" t="s">
        <v>217</v>
      </c>
      <c r="O58" s="43">
        <v>202406180141</v>
      </c>
    </row>
    <row r="59" spans="1:15" x14ac:dyDescent="0.2">
      <c r="A59" t="str">
        <f t="shared" si="0"/>
        <v>73713489 45 min</v>
      </c>
      <c r="B59">
        <v>73713489</v>
      </c>
      <c r="C59" t="s">
        <v>237</v>
      </c>
      <c r="D59">
        <v>107615278240618</v>
      </c>
      <c r="E59" t="s">
        <v>220</v>
      </c>
      <c r="M59">
        <v>19630608</v>
      </c>
      <c r="N59" t="s">
        <v>217</v>
      </c>
      <c r="O59" s="43">
        <v>202406180141</v>
      </c>
    </row>
    <row r="60" spans="1:15" x14ac:dyDescent="0.2">
      <c r="A60" t="str">
        <f t="shared" si="0"/>
        <v>73713489 60 min</v>
      </c>
      <c r="B60">
        <v>73713489</v>
      </c>
      <c r="C60" t="s">
        <v>237</v>
      </c>
      <c r="D60">
        <v>107615272240618</v>
      </c>
      <c r="E60" t="s">
        <v>221</v>
      </c>
      <c r="M60">
        <v>19630608</v>
      </c>
      <c r="N60" t="s">
        <v>217</v>
      </c>
      <c r="O60" s="43">
        <v>202406180141</v>
      </c>
    </row>
    <row r="61" spans="1:15" x14ac:dyDescent="0.2">
      <c r="A61" t="str">
        <f t="shared" si="0"/>
        <v>73713489 75 min</v>
      </c>
      <c r="B61">
        <v>73713489</v>
      </c>
      <c r="C61" t="s">
        <v>237</v>
      </c>
      <c r="D61">
        <v>107615282240618</v>
      </c>
      <c r="E61" t="s">
        <v>222</v>
      </c>
      <c r="M61">
        <v>19630608</v>
      </c>
      <c r="N61" t="s">
        <v>217</v>
      </c>
      <c r="O61" s="43">
        <v>202406180141</v>
      </c>
    </row>
    <row r="62" spans="1:15" x14ac:dyDescent="0.2">
      <c r="A62" t="str">
        <f t="shared" si="0"/>
        <v>73713489 90 min</v>
      </c>
      <c r="B62">
        <v>73713489</v>
      </c>
      <c r="C62" t="s">
        <v>237</v>
      </c>
      <c r="D62">
        <v>107615273240618</v>
      </c>
      <c r="E62" t="s">
        <v>223</v>
      </c>
      <c r="M62">
        <v>19630608</v>
      </c>
      <c r="N62" t="s">
        <v>217</v>
      </c>
      <c r="O62" s="43">
        <v>202406180141</v>
      </c>
    </row>
    <row r="63" spans="1:15" x14ac:dyDescent="0.2">
      <c r="A63" t="str">
        <f t="shared" si="0"/>
        <v>73713489 105 min</v>
      </c>
      <c r="B63">
        <v>73713489</v>
      </c>
      <c r="C63" t="s">
        <v>237</v>
      </c>
      <c r="D63">
        <v>107615283240618</v>
      </c>
      <c r="E63" t="s">
        <v>224</v>
      </c>
      <c r="M63">
        <v>19630608</v>
      </c>
      <c r="N63" t="s">
        <v>217</v>
      </c>
      <c r="O63" s="43">
        <v>202406180141</v>
      </c>
    </row>
    <row r="64" spans="1:15" x14ac:dyDescent="0.2">
      <c r="A64" t="str">
        <f t="shared" si="0"/>
        <v>73713489 120 min</v>
      </c>
      <c r="B64">
        <v>73713489</v>
      </c>
      <c r="C64" t="s">
        <v>237</v>
      </c>
      <c r="D64">
        <v>107615274240618</v>
      </c>
      <c r="E64" t="s">
        <v>225</v>
      </c>
      <c r="M64">
        <v>19630608</v>
      </c>
      <c r="N64" t="s">
        <v>217</v>
      </c>
      <c r="O64" s="43">
        <v>202406180141</v>
      </c>
    </row>
    <row r="65" spans="1:15" x14ac:dyDescent="0.2">
      <c r="A65" t="str">
        <f t="shared" si="0"/>
        <v>73713489 135 min</v>
      </c>
      <c r="B65">
        <v>73713489</v>
      </c>
      <c r="C65" t="s">
        <v>237</v>
      </c>
      <c r="D65">
        <v>107615284240618</v>
      </c>
      <c r="E65" t="s">
        <v>226</v>
      </c>
      <c r="M65">
        <v>19630608</v>
      </c>
      <c r="N65" t="s">
        <v>217</v>
      </c>
      <c r="O65" s="43">
        <v>202406180141</v>
      </c>
    </row>
    <row r="66" spans="1:15" x14ac:dyDescent="0.2">
      <c r="A66" t="str">
        <f t="shared" si="0"/>
        <v>73713489 150 min</v>
      </c>
      <c r="B66">
        <v>73713489</v>
      </c>
      <c r="C66" t="s">
        <v>237</v>
      </c>
      <c r="D66">
        <v>107615275240618</v>
      </c>
      <c r="E66" t="s">
        <v>227</v>
      </c>
      <c r="M66">
        <v>19630608</v>
      </c>
      <c r="N66" t="s">
        <v>217</v>
      </c>
      <c r="O66" s="43">
        <v>202406180141</v>
      </c>
    </row>
    <row r="67" spans="1:15" x14ac:dyDescent="0.2">
      <c r="A67" t="str">
        <f t="shared" ref="A67:A130" si="1">CONCATENATE(B67," ",E67)</f>
        <v>73713489 165 min</v>
      </c>
      <c r="B67">
        <v>73713489</v>
      </c>
      <c r="C67" t="s">
        <v>237</v>
      </c>
      <c r="D67">
        <v>107615285240618</v>
      </c>
      <c r="E67" t="s">
        <v>228</v>
      </c>
      <c r="M67">
        <v>19630608</v>
      </c>
      <c r="N67" t="s">
        <v>217</v>
      </c>
      <c r="O67" s="43">
        <v>202406180141</v>
      </c>
    </row>
    <row r="68" spans="1:15" x14ac:dyDescent="0.2">
      <c r="A68" t="str">
        <f t="shared" si="1"/>
        <v>73713489 180 min</v>
      </c>
      <c r="B68">
        <v>73713489</v>
      </c>
      <c r="C68" t="s">
        <v>237</v>
      </c>
      <c r="D68">
        <v>107615276240618</v>
      </c>
      <c r="E68" t="s">
        <v>229</v>
      </c>
      <c r="M68">
        <v>19630608</v>
      </c>
      <c r="N68" t="s">
        <v>217</v>
      </c>
      <c r="O68" s="43">
        <v>202406180141</v>
      </c>
    </row>
    <row r="69" spans="1:15" x14ac:dyDescent="0.2">
      <c r="A69" t="str">
        <f t="shared" si="1"/>
        <v>73713489 195 min</v>
      </c>
      <c r="B69">
        <v>73713489</v>
      </c>
      <c r="C69" t="s">
        <v>237</v>
      </c>
      <c r="D69">
        <v>107615286240618</v>
      </c>
      <c r="E69" t="s">
        <v>230</v>
      </c>
      <c r="M69">
        <v>19630608</v>
      </c>
      <c r="N69" t="s">
        <v>217</v>
      </c>
      <c r="O69" s="43">
        <v>202406180141</v>
      </c>
    </row>
    <row r="70" spans="1:15" x14ac:dyDescent="0.2">
      <c r="A70" t="str">
        <f t="shared" si="1"/>
        <v>73713489 210 min</v>
      </c>
      <c r="B70">
        <v>73713489</v>
      </c>
      <c r="C70" t="s">
        <v>237</v>
      </c>
      <c r="D70">
        <v>107615281240618</v>
      </c>
      <c r="E70" t="s">
        <v>231</v>
      </c>
      <c r="M70">
        <v>19630608</v>
      </c>
      <c r="N70" t="s">
        <v>217</v>
      </c>
      <c r="O70" s="43">
        <v>202406180141</v>
      </c>
    </row>
    <row r="71" spans="1:15" x14ac:dyDescent="0.2">
      <c r="A71" t="str">
        <f t="shared" si="1"/>
        <v>73713489 225 min</v>
      </c>
      <c r="B71">
        <v>73713489</v>
      </c>
      <c r="C71" t="s">
        <v>237</v>
      </c>
      <c r="D71">
        <v>107615287240618</v>
      </c>
      <c r="E71" t="s">
        <v>232</v>
      </c>
      <c r="M71">
        <v>19630608</v>
      </c>
      <c r="N71" t="s">
        <v>217</v>
      </c>
      <c r="O71" s="43">
        <v>202406180141</v>
      </c>
    </row>
    <row r="72" spans="1:15" x14ac:dyDescent="0.2">
      <c r="A72" t="str">
        <f t="shared" si="1"/>
        <v>73713489 240 min</v>
      </c>
      <c r="B72">
        <v>73713489</v>
      </c>
      <c r="C72" t="s">
        <v>237</v>
      </c>
      <c r="D72">
        <v>107615279240618</v>
      </c>
      <c r="E72" t="s">
        <v>233</v>
      </c>
      <c r="M72">
        <v>19630608</v>
      </c>
      <c r="N72" t="s">
        <v>217</v>
      </c>
      <c r="O72" s="43">
        <v>202406180141</v>
      </c>
    </row>
    <row r="73" spans="1:15" x14ac:dyDescent="0.2">
      <c r="A73" t="str">
        <f t="shared" si="1"/>
        <v>62128731 0 min</v>
      </c>
      <c r="B73">
        <v>62128731</v>
      </c>
      <c r="C73" t="s">
        <v>238</v>
      </c>
      <c r="D73">
        <v>107615059240618</v>
      </c>
      <c r="E73" t="s">
        <v>235</v>
      </c>
      <c r="M73">
        <v>20060524</v>
      </c>
      <c r="N73" t="s">
        <v>217</v>
      </c>
      <c r="O73" s="43">
        <v>202406181127</v>
      </c>
    </row>
    <row r="74" spans="1:15" x14ac:dyDescent="0.2">
      <c r="A74" t="str">
        <f t="shared" si="1"/>
        <v>62128731 00 min</v>
      </c>
      <c r="B74">
        <v>62128731</v>
      </c>
      <c r="C74" t="s">
        <v>238</v>
      </c>
      <c r="D74">
        <v>107615069240618</v>
      </c>
      <c r="E74" t="s">
        <v>216</v>
      </c>
      <c r="M74">
        <v>20060524</v>
      </c>
      <c r="N74" t="s">
        <v>217</v>
      </c>
      <c r="O74" s="43">
        <v>202406181127</v>
      </c>
    </row>
    <row r="75" spans="1:15" x14ac:dyDescent="0.2">
      <c r="A75" t="str">
        <f t="shared" si="1"/>
        <v>62128731 15 min</v>
      </c>
      <c r="B75">
        <v>62128731</v>
      </c>
      <c r="C75" t="s">
        <v>238</v>
      </c>
      <c r="D75">
        <v>107615066240618</v>
      </c>
      <c r="E75" t="s">
        <v>218</v>
      </c>
      <c r="M75">
        <v>20060524</v>
      </c>
      <c r="N75" t="s">
        <v>217</v>
      </c>
      <c r="O75" s="43">
        <v>202406181127</v>
      </c>
    </row>
    <row r="76" spans="1:15" x14ac:dyDescent="0.2">
      <c r="A76" t="str">
        <f t="shared" si="1"/>
        <v>62128731 30 min</v>
      </c>
      <c r="B76">
        <v>62128731</v>
      </c>
      <c r="C76" t="s">
        <v>238</v>
      </c>
      <c r="D76">
        <v>107615060240618</v>
      </c>
      <c r="E76" t="s">
        <v>219</v>
      </c>
      <c r="M76">
        <v>20060524</v>
      </c>
      <c r="N76" t="s">
        <v>217</v>
      </c>
      <c r="O76" s="43">
        <v>202406181127</v>
      </c>
    </row>
    <row r="77" spans="1:15" x14ac:dyDescent="0.2">
      <c r="A77" t="str">
        <f t="shared" si="1"/>
        <v>62128731 45 min</v>
      </c>
      <c r="B77">
        <v>62128731</v>
      </c>
      <c r="C77" t="s">
        <v>238</v>
      </c>
      <c r="D77">
        <v>107615067240618</v>
      </c>
      <c r="E77" t="s">
        <v>220</v>
      </c>
      <c r="M77">
        <v>20060524</v>
      </c>
      <c r="N77" t="s">
        <v>217</v>
      </c>
      <c r="O77" s="43">
        <v>202406181127</v>
      </c>
    </row>
    <row r="78" spans="1:15" x14ac:dyDescent="0.2">
      <c r="A78" t="str">
        <f t="shared" si="1"/>
        <v>62128731 60 min</v>
      </c>
      <c r="B78">
        <v>62128731</v>
      </c>
      <c r="C78" t="s">
        <v>238</v>
      </c>
      <c r="D78">
        <v>107615061240618</v>
      </c>
      <c r="E78" t="s">
        <v>221</v>
      </c>
      <c r="M78">
        <v>20060524</v>
      </c>
      <c r="N78" t="s">
        <v>217</v>
      </c>
      <c r="O78" s="43">
        <v>202406181127</v>
      </c>
    </row>
    <row r="79" spans="1:15" x14ac:dyDescent="0.2">
      <c r="A79" t="str">
        <f t="shared" si="1"/>
        <v>62128731 75 min</v>
      </c>
      <c r="B79">
        <v>62128731</v>
      </c>
      <c r="C79" t="s">
        <v>238</v>
      </c>
      <c r="D79">
        <v>107615071240618</v>
      </c>
      <c r="E79" t="s">
        <v>222</v>
      </c>
      <c r="M79">
        <v>20060524</v>
      </c>
      <c r="N79" t="s">
        <v>217</v>
      </c>
      <c r="O79" s="43">
        <v>202406181127</v>
      </c>
    </row>
    <row r="80" spans="1:15" x14ac:dyDescent="0.2">
      <c r="A80" t="str">
        <f t="shared" si="1"/>
        <v>62128731 90 min</v>
      </c>
      <c r="B80">
        <v>62128731</v>
      </c>
      <c r="C80" t="s">
        <v>238</v>
      </c>
      <c r="D80">
        <v>107615062240618</v>
      </c>
      <c r="E80" t="s">
        <v>223</v>
      </c>
      <c r="M80">
        <v>20060524</v>
      </c>
      <c r="N80" t="s">
        <v>217</v>
      </c>
      <c r="O80" s="43">
        <v>202406181127</v>
      </c>
    </row>
    <row r="81" spans="1:15" x14ac:dyDescent="0.2">
      <c r="A81" t="str">
        <f t="shared" si="1"/>
        <v>62128731 105 min</v>
      </c>
      <c r="B81">
        <v>62128731</v>
      </c>
      <c r="C81" t="s">
        <v>238</v>
      </c>
      <c r="D81">
        <v>107615072240618</v>
      </c>
      <c r="E81" t="s">
        <v>224</v>
      </c>
      <c r="M81">
        <v>20060524</v>
      </c>
      <c r="N81" t="s">
        <v>217</v>
      </c>
      <c r="O81" s="43">
        <v>202406181127</v>
      </c>
    </row>
    <row r="82" spans="1:15" x14ac:dyDescent="0.2">
      <c r="A82" t="str">
        <f t="shared" si="1"/>
        <v>62128731 120 min</v>
      </c>
      <c r="B82">
        <v>62128731</v>
      </c>
      <c r="C82" t="s">
        <v>238</v>
      </c>
      <c r="D82">
        <v>107615063240618</v>
      </c>
      <c r="E82" t="s">
        <v>225</v>
      </c>
      <c r="M82">
        <v>20060524</v>
      </c>
      <c r="N82" t="s">
        <v>217</v>
      </c>
      <c r="O82" s="43">
        <v>202406181127</v>
      </c>
    </row>
    <row r="83" spans="1:15" x14ac:dyDescent="0.2">
      <c r="A83" t="str">
        <f t="shared" si="1"/>
        <v>62128731 135 min</v>
      </c>
      <c r="B83">
        <v>62128731</v>
      </c>
      <c r="C83" t="s">
        <v>238</v>
      </c>
      <c r="D83">
        <v>107615073240618</v>
      </c>
      <c r="E83" t="s">
        <v>226</v>
      </c>
      <c r="M83">
        <v>20060524</v>
      </c>
      <c r="N83" t="s">
        <v>217</v>
      </c>
      <c r="O83" s="43">
        <v>202406181127</v>
      </c>
    </row>
    <row r="84" spans="1:15" x14ac:dyDescent="0.2">
      <c r="A84" t="str">
        <f t="shared" si="1"/>
        <v>62128731 150 min</v>
      </c>
      <c r="B84">
        <v>62128731</v>
      </c>
      <c r="C84" t="s">
        <v>238</v>
      </c>
      <c r="D84">
        <v>107615064240618</v>
      </c>
      <c r="E84" t="s">
        <v>227</v>
      </c>
      <c r="M84">
        <v>20060524</v>
      </c>
      <c r="N84" t="s">
        <v>217</v>
      </c>
      <c r="O84" s="43">
        <v>202406181127</v>
      </c>
    </row>
    <row r="85" spans="1:15" x14ac:dyDescent="0.2">
      <c r="A85" t="str">
        <f t="shared" si="1"/>
        <v>62128731 165 min</v>
      </c>
      <c r="B85">
        <v>62128731</v>
      </c>
      <c r="C85" t="s">
        <v>238</v>
      </c>
      <c r="D85">
        <v>107615074240618</v>
      </c>
      <c r="E85" t="s">
        <v>228</v>
      </c>
      <c r="M85">
        <v>20060524</v>
      </c>
      <c r="N85" t="s">
        <v>217</v>
      </c>
      <c r="O85" s="43">
        <v>202406181127</v>
      </c>
    </row>
    <row r="86" spans="1:15" x14ac:dyDescent="0.2">
      <c r="A86" t="str">
        <f t="shared" si="1"/>
        <v>62128731 180 min</v>
      </c>
      <c r="B86">
        <v>62128731</v>
      </c>
      <c r="C86" t="s">
        <v>238</v>
      </c>
      <c r="D86">
        <v>107615065240618</v>
      </c>
      <c r="E86" t="s">
        <v>229</v>
      </c>
      <c r="M86">
        <v>20060524</v>
      </c>
      <c r="N86" t="s">
        <v>217</v>
      </c>
      <c r="O86" s="43">
        <v>202406181127</v>
      </c>
    </row>
    <row r="87" spans="1:15" x14ac:dyDescent="0.2">
      <c r="A87" t="str">
        <f t="shared" si="1"/>
        <v>62128731 195 min</v>
      </c>
      <c r="B87">
        <v>62128731</v>
      </c>
      <c r="C87" t="s">
        <v>238</v>
      </c>
      <c r="D87">
        <v>107615075240618</v>
      </c>
      <c r="E87" t="s">
        <v>230</v>
      </c>
      <c r="M87">
        <v>20060524</v>
      </c>
      <c r="N87" t="s">
        <v>217</v>
      </c>
      <c r="O87" s="43">
        <v>202406181127</v>
      </c>
    </row>
    <row r="88" spans="1:15" x14ac:dyDescent="0.2">
      <c r="A88" t="str">
        <f t="shared" si="1"/>
        <v>62128731 210 min</v>
      </c>
      <c r="B88">
        <v>62128731</v>
      </c>
      <c r="C88" t="s">
        <v>238</v>
      </c>
      <c r="D88">
        <v>107615070240618</v>
      </c>
      <c r="E88" t="s">
        <v>231</v>
      </c>
      <c r="M88">
        <v>20060524</v>
      </c>
      <c r="N88" t="s">
        <v>217</v>
      </c>
      <c r="O88" s="43">
        <v>202406181127</v>
      </c>
    </row>
    <row r="89" spans="1:15" x14ac:dyDescent="0.2">
      <c r="A89" t="str">
        <f t="shared" si="1"/>
        <v>62128731 225 min</v>
      </c>
      <c r="B89">
        <v>62128731</v>
      </c>
      <c r="C89" t="s">
        <v>238</v>
      </c>
      <c r="D89">
        <v>107615076240618</v>
      </c>
      <c r="E89" t="s">
        <v>232</v>
      </c>
      <c r="M89">
        <v>20060524</v>
      </c>
      <c r="N89" t="s">
        <v>217</v>
      </c>
      <c r="O89" s="43">
        <v>202406181127</v>
      </c>
    </row>
    <row r="90" spans="1:15" x14ac:dyDescent="0.2">
      <c r="A90" t="str">
        <f t="shared" si="1"/>
        <v>62128731 240 min</v>
      </c>
      <c r="B90">
        <v>62128731</v>
      </c>
      <c r="C90" t="s">
        <v>238</v>
      </c>
      <c r="D90">
        <v>107615068240618</v>
      </c>
      <c r="E90" t="s">
        <v>233</v>
      </c>
      <c r="M90">
        <v>20060524</v>
      </c>
      <c r="N90" t="s">
        <v>217</v>
      </c>
      <c r="O90" s="43">
        <v>202406181127</v>
      </c>
    </row>
    <row r="91" spans="1:15" x14ac:dyDescent="0.2">
      <c r="A91" t="str">
        <f t="shared" si="1"/>
        <v>69506285 0 min</v>
      </c>
      <c r="B91">
        <v>69506285</v>
      </c>
      <c r="C91" t="s">
        <v>239</v>
      </c>
      <c r="D91">
        <v>107711729240618</v>
      </c>
      <c r="E91" t="s">
        <v>235</v>
      </c>
      <c r="M91">
        <v>20100213</v>
      </c>
      <c r="N91" t="s">
        <v>240</v>
      </c>
      <c r="O91" s="43">
        <v>202406181132</v>
      </c>
    </row>
    <row r="92" spans="1:15" x14ac:dyDescent="0.2">
      <c r="A92" t="str">
        <f t="shared" si="1"/>
        <v>69506285 00 min</v>
      </c>
      <c r="B92">
        <v>69506285</v>
      </c>
      <c r="C92" t="s">
        <v>239</v>
      </c>
      <c r="D92">
        <v>107711739240618</v>
      </c>
      <c r="E92" t="s">
        <v>216</v>
      </c>
      <c r="M92">
        <v>20100213</v>
      </c>
      <c r="N92" t="s">
        <v>240</v>
      </c>
      <c r="O92" s="43">
        <v>202406181132</v>
      </c>
    </row>
    <row r="93" spans="1:15" x14ac:dyDescent="0.2">
      <c r="A93" t="str">
        <f t="shared" si="1"/>
        <v>69506285 15 min</v>
      </c>
      <c r="B93">
        <v>69506285</v>
      </c>
      <c r="C93" t="s">
        <v>239</v>
      </c>
      <c r="D93">
        <v>107711736240618</v>
      </c>
      <c r="E93" t="s">
        <v>218</v>
      </c>
      <c r="M93">
        <v>20100213</v>
      </c>
      <c r="N93" t="s">
        <v>240</v>
      </c>
      <c r="O93" s="43">
        <v>202406181132</v>
      </c>
    </row>
    <row r="94" spans="1:15" x14ac:dyDescent="0.2">
      <c r="A94" t="str">
        <f t="shared" si="1"/>
        <v>69506285 30 min</v>
      </c>
      <c r="B94">
        <v>69506285</v>
      </c>
      <c r="C94" t="s">
        <v>239</v>
      </c>
      <c r="D94">
        <v>107711730240618</v>
      </c>
      <c r="E94" t="s">
        <v>219</v>
      </c>
      <c r="M94">
        <v>20100213</v>
      </c>
      <c r="N94" t="s">
        <v>240</v>
      </c>
      <c r="O94" s="43">
        <v>202406181132</v>
      </c>
    </row>
    <row r="95" spans="1:15" x14ac:dyDescent="0.2">
      <c r="A95" t="str">
        <f t="shared" si="1"/>
        <v>69506285 45 min</v>
      </c>
      <c r="B95">
        <v>69506285</v>
      </c>
      <c r="C95" t="s">
        <v>239</v>
      </c>
      <c r="D95">
        <v>107711737240618</v>
      </c>
      <c r="E95" t="s">
        <v>220</v>
      </c>
      <c r="M95">
        <v>20100213</v>
      </c>
      <c r="N95" t="s">
        <v>240</v>
      </c>
      <c r="O95" s="43">
        <v>202406181132</v>
      </c>
    </row>
    <row r="96" spans="1:15" x14ac:dyDescent="0.2">
      <c r="A96" t="str">
        <f t="shared" si="1"/>
        <v>69506285 60 min</v>
      </c>
      <c r="B96">
        <v>69506285</v>
      </c>
      <c r="C96" t="s">
        <v>239</v>
      </c>
      <c r="D96">
        <v>107711731240618</v>
      </c>
      <c r="E96" t="s">
        <v>221</v>
      </c>
      <c r="M96">
        <v>20100213</v>
      </c>
      <c r="N96" t="s">
        <v>240</v>
      </c>
      <c r="O96" s="43">
        <v>202406181132</v>
      </c>
    </row>
    <row r="97" spans="1:15" x14ac:dyDescent="0.2">
      <c r="A97" t="str">
        <f t="shared" si="1"/>
        <v>69506285 75 min</v>
      </c>
      <c r="B97">
        <v>69506285</v>
      </c>
      <c r="C97" t="s">
        <v>239</v>
      </c>
      <c r="D97">
        <v>107711741240618</v>
      </c>
      <c r="E97" t="s">
        <v>222</v>
      </c>
      <c r="M97">
        <v>20100213</v>
      </c>
      <c r="N97" t="s">
        <v>240</v>
      </c>
      <c r="O97" s="43">
        <v>202406181132</v>
      </c>
    </row>
    <row r="98" spans="1:15" x14ac:dyDescent="0.2">
      <c r="A98" t="str">
        <f t="shared" si="1"/>
        <v>69506285 90 min</v>
      </c>
      <c r="B98">
        <v>69506285</v>
      </c>
      <c r="C98" t="s">
        <v>239</v>
      </c>
      <c r="D98">
        <v>107711732240618</v>
      </c>
      <c r="E98" t="s">
        <v>223</v>
      </c>
      <c r="M98">
        <v>20100213</v>
      </c>
      <c r="N98" t="s">
        <v>240</v>
      </c>
      <c r="O98" s="43">
        <v>202406181132</v>
      </c>
    </row>
    <row r="99" spans="1:15" x14ac:dyDescent="0.2">
      <c r="A99" t="str">
        <f t="shared" si="1"/>
        <v>69506285 105 min</v>
      </c>
      <c r="B99">
        <v>69506285</v>
      </c>
      <c r="C99" t="s">
        <v>239</v>
      </c>
      <c r="D99">
        <v>107711742240618</v>
      </c>
      <c r="E99" t="s">
        <v>224</v>
      </c>
      <c r="M99">
        <v>20100213</v>
      </c>
      <c r="N99" t="s">
        <v>240</v>
      </c>
      <c r="O99" s="43">
        <v>202406181132</v>
      </c>
    </row>
    <row r="100" spans="1:15" x14ac:dyDescent="0.2">
      <c r="A100" t="str">
        <f t="shared" si="1"/>
        <v>69506285 120 min</v>
      </c>
      <c r="B100">
        <v>69506285</v>
      </c>
      <c r="C100" t="s">
        <v>239</v>
      </c>
      <c r="D100">
        <v>107711733240618</v>
      </c>
      <c r="E100" t="s">
        <v>225</v>
      </c>
      <c r="M100">
        <v>20100213</v>
      </c>
      <c r="N100" t="s">
        <v>240</v>
      </c>
      <c r="O100" s="43">
        <v>202406181132</v>
      </c>
    </row>
    <row r="101" spans="1:15" x14ac:dyDescent="0.2">
      <c r="A101" t="str">
        <f t="shared" si="1"/>
        <v>69506285 135 min</v>
      </c>
      <c r="B101">
        <v>69506285</v>
      </c>
      <c r="C101" t="s">
        <v>239</v>
      </c>
      <c r="D101">
        <v>107711743240618</v>
      </c>
      <c r="E101" t="s">
        <v>226</v>
      </c>
      <c r="M101">
        <v>20100213</v>
      </c>
      <c r="N101" t="s">
        <v>240</v>
      </c>
      <c r="O101" s="43">
        <v>202406181132</v>
      </c>
    </row>
    <row r="102" spans="1:15" x14ac:dyDescent="0.2">
      <c r="A102" t="str">
        <f t="shared" si="1"/>
        <v>69506285 150 min</v>
      </c>
      <c r="B102">
        <v>69506285</v>
      </c>
      <c r="C102" t="s">
        <v>239</v>
      </c>
      <c r="D102">
        <v>107711734240618</v>
      </c>
      <c r="E102" t="s">
        <v>227</v>
      </c>
      <c r="M102">
        <v>20100213</v>
      </c>
      <c r="N102" t="s">
        <v>240</v>
      </c>
      <c r="O102" s="43">
        <v>202406181132</v>
      </c>
    </row>
    <row r="103" spans="1:15" x14ac:dyDescent="0.2">
      <c r="A103" t="str">
        <f t="shared" si="1"/>
        <v>69506285 165 min</v>
      </c>
      <c r="B103">
        <v>69506285</v>
      </c>
      <c r="C103" t="s">
        <v>239</v>
      </c>
      <c r="D103">
        <v>107711744240618</v>
      </c>
      <c r="E103" t="s">
        <v>228</v>
      </c>
      <c r="M103">
        <v>20100213</v>
      </c>
      <c r="N103" t="s">
        <v>240</v>
      </c>
      <c r="O103" s="43">
        <v>202406181132</v>
      </c>
    </row>
    <row r="104" spans="1:15" x14ac:dyDescent="0.2">
      <c r="A104" t="str">
        <f t="shared" si="1"/>
        <v>69506285 180 min</v>
      </c>
      <c r="B104">
        <v>69506285</v>
      </c>
      <c r="C104" t="s">
        <v>239</v>
      </c>
      <c r="D104">
        <v>107711735240618</v>
      </c>
      <c r="E104" t="s">
        <v>229</v>
      </c>
      <c r="M104">
        <v>20100213</v>
      </c>
      <c r="N104" t="s">
        <v>240</v>
      </c>
      <c r="O104" s="43">
        <v>202406181132</v>
      </c>
    </row>
    <row r="105" spans="1:15" x14ac:dyDescent="0.2">
      <c r="A105" t="str">
        <f t="shared" si="1"/>
        <v>69506285 195 min</v>
      </c>
      <c r="B105">
        <v>69506285</v>
      </c>
      <c r="C105" t="s">
        <v>239</v>
      </c>
      <c r="D105">
        <v>107711745240618</v>
      </c>
      <c r="E105" t="s">
        <v>230</v>
      </c>
      <c r="M105">
        <v>20100213</v>
      </c>
      <c r="N105" t="s">
        <v>240</v>
      </c>
      <c r="O105" s="43">
        <v>202406181132</v>
      </c>
    </row>
    <row r="106" spans="1:15" x14ac:dyDescent="0.2">
      <c r="A106" t="str">
        <f t="shared" si="1"/>
        <v>69506285 210 min</v>
      </c>
      <c r="B106">
        <v>69506285</v>
      </c>
      <c r="C106" t="s">
        <v>239</v>
      </c>
      <c r="D106">
        <v>107711740240618</v>
      </c>
      <c r="E106" t="s">
        <v>231</v>
      </c>
      <c r="M106">
        <v>20100213</v>
      </c>
      <c r="N106" t="s">
        <v>240</v>
      </c>
      <c r="O106" s="43">
        <v>202406181132</v>
      </c>
    </row>
    <row r="107" spans="1:15" x14ac:dyDescent="0.2">
      <c r="A107" t="str">
        <f t="shared" si="1"/>
        <v>69506285 225 min</v>
      </c>
      <c r="B107">
        <v>69506285</v>
      </c>
      <c r="C107" t="s">
        <v>239</v>
      </c>
      <c r="D107">
        <v>107711746240618</v>
      </c>
      <c r="E107" t="s">
        <v>232</v>
      </c>
      <c r="M107">
        <v>20100213</v>
      </c>
      <c r="N107" t="s">
        <v>240</v>
      </c>
      <c r="O107" s="43">
        <v>202406181132</v>
      </c>
    </row>
    <row r="108" spans="1:15" x14ac:dyDescent="0.2">
      <c r="A108" t="str">
        <f t="shared" si="1"/>
        <v>69506285 240 min</v>
      </c>
      <c r="B108">
        <v>69506285</v>
      </c>
      <c r="C108" t="s">
        <v>239</v>
      </c>
      <c r="D108">
        <v>107711738240618</v>
      </c>
      <c r="E108" t="s">
        <v>233</v>
      </c>
      <c r="M108">
        <v>20100213</v>
      </c>
      <c r="N108" t="s">
        <v>240</v>
      </c>
      <c r="O108" s="43">
        <v>202406181132</v>
      </c>
    </row>
    <row r="109" spans="1:15" x14ac:dyDescent="0.2">
      <c r="A109" t="str">
        <f t="shared" si="1"/>
        <v>64214008 0 min</v>
      </c>
      <c r="B109">
        <v>64214008</v>
      </c>
      <c r="C109" t="s">
        <v>241</v>
      </c>
      <c r="D109">
        <v>107595975240618</v>
      </c>
      <c r="E109" t="s">
        <v>235</v>
      </c>
      <c r="M109">
        <v>20181119</v>
      </c>
      <c r="N109" t="s">
        <v>217</v>
      </c>
      <c r="O109" s="43">
        <v>202406181138</v>
      </c>
    </row>
    <row r="110" spans="1:15" x14ac:dyDescent="0.2">
      <c r="A110" t="str">
        <f t="shared" si="1"/>
        <v>64214008 00 min</v>
      </c>
      <c r="B110">
        <v>64214008</v>
      </c>
      <c r="C110" t="s">
        <v>241</v>
      </c>
      <c r="D110">
        <v>107595985240618</v>
      </c>
      <c r="E110" t="s">
        <v>216</v>
      </c>
      <c r="M110">
        <v>20181119</v>
      </c>
      <c r="N110" t="s">
        <v>217</v>
      </c>
      <c r="O110" s="43">
        <v>202406181138</v>
      </c>
    </row>
    <row r="111" spans="1:15" x14ac:dyDescent="0.2">
      <c r="A111" t="str">
        <f t="shared" si="1"/>
        <v>64214008 15 min</v>
      </c>
      <c r="B111">
        <v>64214008</v>
      </c>
      <c r="C111" t="s">
        <v>241</v>
      </c>
      <c r="D111">
        <v>107595982240618</v>
      </c>
      <c r="E111" t="s">
        <v>218</v>
      </c>
      <c r="M111">
        <v>20181119</v>
      </c>
      <c r="N111" t="s">
        <v>217</v>
      </c>
      <c r="O111" s="43">
        <v>202406181138</v>
      </c>
    </row>
    <row r="112" spans="1:15" x14ac:dyDescent="0.2">
      <c r="A112" t="str">
        <f t="shared" si="1"/>
        <v>64214008 30 min</v>
      </c>
      <c r="B112">
        <v>64214008</v>
      </c>
      <c r="C112" t="s">
        <v>241</v>
      </c>
      <c r="D112">
        <v>107595976240618</v>
      </c>
      <c r="E112" t="s">
        <v>219</v>
      </c>
      <c r="M112">
        <v>20181119</v>
      </c>
      <c r="N112" t="s">
        <v>217</v>
      </c>
      <c r="O112" s="43">
        <v>202406181138</v>
      </c>
    </row>
    <row r="113" spans="1:15" x14ac:dyDescent="0.2">
      <c r="A113" t="str">
        <f t="shared" si="1"/>
        <v>64214008 45 min</v>
      </c>
      <c r="B113">
        <v>64214008</v>
      </c>
      <c r="C113" t="s">
        <v>241</v>
      </c>
      <c r="D113">
        <v>107595983240618</v>
      </c>
      <c r="E113" t="s">
        <v>220</v>
      </c>
      <c r="M113">
        <v>20181119</v>
      </c>
      <c r="N113" t="s">
        <v>217</v>
      </c>
      <c r="O113" s="43">
        <v>202406181138</v>
      </c>
    </row>
    <row r="114" spans="1:15" x14ac:dyDescent="0.2">
      <c r="A114" t="str">
        <f t="shared" si="1"/>
        <v>64214008 60 min</v>
      </c>
      <c r="B114">
        <v>64214008</v>
      </c>
      <c r="C114" t="s">
        <v>241</v>
      </c>
      <c r="D114">
        <v>107595977240618</v>
      </c>
      <c r="E114" t="s">
        <v>221</v>
      </c>
      <c r="M114">
        <v>20181119</v>
      </c>
      <c r="N114" t="s">
        <v>217</v>
      </c>
      <c r="O114" s="43">
        <v>202406181138</v>
      </c>
    </row>
    <row r="115" spans="1:15" x14ac:dyDescent="0.2">
      <c r="A115" t="str">
        <f t="shared" si="1"/>
        <v>64214008 75 min</v>
      </c>
      <c r="B115">
        <v>64214008</v>
      </c>
      <c r="C115" t="s">
        <v>241</v>
      </c>
      <c r="D115">
        <v>107595987240618</v>
      </c>
      <c r="E115" t="s">
        <v>222</v>
      </c>
      <c r="M115">
        <v>20181119</v>
      </c>
      <c r="N115" t="s">
        <v>217</v>
      </c>
      <c r="O115" s="43">
        <v>202406181138</v>
      </c>
    </row>
    <row r="116" spans="1:15" x14ac:dyDescent="0.2">
      <c r="A116" t="str">
        <f t="shared" si="1"/>
        <v>64214008 90 min</v>
      </c>
      <c r="B116">
        <v>64214008</v>
      </c>
      <c r="C116" t="s">
        <v>241</v>
      </c>
      <c r="D116">
        <v>107595978240618</v>
      </c>
      <c r="E116" t="s">
        <v>223</v>
      </c>
      <c r="M116">
        <v>20181119</v>
      </c>
      <c r="N116" t="s">
        <v>217</v>
      </c>
      <c r="O116" s="43">
        <v>202406181138</v>
      </c>
    </row>
    <row r="117" spans="1:15" x14ac:dyDescent="0.2">
      <c r="A117" t="str">
        <f t="shared" si="1"/>
        <v>64214008 105 min</v>
      </c>
      <c r="B117">
        <v>64214008</v>
      </c>
      <c r="C117" t="s">
        <v>241</v>
      </c>
      <c r="D117">
        <v>107595988240618</v>
      </c>
      <c r="E117" t="s">
        <v>224</v>
      </c>
      <c r="M117">
        <v>20181119</v>
      </c>
      <c r="N117" t="s">
        <v>217</v>
      </c>
      <c r="O117" s="43">
        <v>202406181138</v>
      </c>
    </row>
    <row r="118" spans="1:15" x14ac:dyDescent="0.2">
      <c r="A118" t="str">
        <f t="shared" si="1"/>
        <v>64214008 120 min</v>
      </c>
      <c r="B118">
        <v>64214008</v>
      </c>
      <c r="C118" t="s">
        <v>241</v>
      </c>
      <c r="D118">
        <v>107595979240618</v>
      </c>
      <c r="E118" t="s">
        <v>225</v>
      </c>
      <c r="M118">
        <v>20181119</v>
      </c>
      <c r="N118" t="s">
        <v>217</v>
      </c>
      <c r="O118" s="43">
        <v>202406181138</v>
      </c>
    </row>
    <row r="119" spans="1:15" x14ac:dyDescent="0.2">
      <c r="A119" t="str">
        <f t="shared" si="1"/>
        <v>64214008 135 min</v>
      </c>
      <c r="B119">
        <v>64214008</v>
      </c>
      <c r="C119" t="s">
        <v>241</v>
      </c>
      <c r="D119">
        <v>107595989240618</v>
      </c>
      <c r="E119" t="s">
        <v>226</v>
      </c>
      <c r="M119">
        <v>20181119</v>
      </c>
      <c r="N119" t="s">
        <v>217</v>
      </c>
      <c r="O119" s="43">
        <v>202406181138</v>
      </c>
    </row>
    <row r="120" spans="1:15" x14ac:dyDescent="0.2">
      <c r="A120" t="str">
        <f t="shared" si="1"/>
        <v>64214008 150 min</v>
      </c>
      <c r="B120">
        <v>64214008</v>
      </c>
      <c r="C120" t="s">
        <v>241</v>
      </c>
      <c r="D120">
        <v>107595980240618</v>
      </c>
      <c r="E120" t="s">
        <v>227</v>
      </c>
      <c r="M120">
        <v>20181119</v>
      </c>
      <c r="N120" t="s">
        <v>217</v>
      </c>
      <c r="O120" s="43">
        <v>202406181138</v>
      </c>
    </row>
    <row r="121" spans="1:15" x14ac:dyDescent="0.2">
      <c r="A121" t="str">
        <f t="shared" si="1"/>
        <v>64214008 165 min</v>
      </c>
      <c r="B121">
        <v>64214008</v>
      </c>
      <c r="C121" t="s">
        <v>241</v>
      </c>
      <c r="D121">
        <v>107595990240618</v>
      </c>
      <c r="E121" t="s">
        <v>228</v>
      </c>
      <c r="M121">
        <v>20181119</v>
      </c>
      <c r="N121" t="s">
        <v>217</v>
      </c>
      <c r="O121" s="43">
        <v>202406181138</v>
      </c>
    </row>
    <row r="122" spans="1:15" x14ac:dyDescent="0.2">
      <c r="A122" t="str">
        <f t="shared" si="1"/>
        <v>64214008 180 min</v>
      </c>
      <c r="B122">
        <v>64214008</v>
      </c>
      <c r="C122" t="s">
        <v>241</v>
      </c>
      <c r="D122">
        <v>107595981240618</v>
      </c>
      <c r="E122" t="s">
        <v>229</v>
      </c>
      <c r="M122">
        <v>20181119</v>
      </c>
      <c r="N122" t="s">
        <v>217</v>
      </c>
      <c r="O122" s="43">
        <v>202406181138</v>
      </c>
    </row>
    <row r="123" spans="1:15" x14ac:dyDescent="0.2">
      <c r="A123" t="str">
        <f t="shared" si="1"/>
        <v>64214008 195 min</v>
      </c>
      <c r="B123">
        <v>64214008</v>
      </c>
      <c r="C123" t="s">
        <v>241</v>
      </c>
      <c r="D123">
        <v>107595991240618</v>
      </c>
      <c r="E123" t="s">
        <v>230</v>
      </c>
      <c r="M123">
        <v>20181119</v>
      </c>
      <c r="N123" t="s">
        <v>217</v>
      </c>
      <c r="O123" s="43">
        <v>202406181138</v>
      </c>
    </row>
    <row r="124" spans="1:15" x14ac:dyDescent="0.2">
      <c r="A124" t="str">
        <f t="shared" si="1"/>
        <v>64214008 210 min</v>
      </c>
      <c r="B124">
        <v>64214008</v>
      </c>
      <c r="C124" t="s">
        <v>241</v>
      </c>
      <c r="D124">
        <v>107595986240618</v>
      </c>
      <c r="E124" t="s">
        <v>231</v>
      </c>
      <c r="M124">
        <v>20181119</v>
      </c>
      <c r="N124" t="s">
        <v>217</v>
      </c>
      <c r="O124" s="43">
        <v>202406181138</v>
      </c>
    </row>
    <row r="125" spans="1:15" x14ac:dyDescent="0.2">
      <c r="A125" t="str">
        <f t="shared" si="1"/>
        <v>64214008 225 min</v>
      </c>
      <c r="B125">
        <v>64214008</v>
      </c>
      <c r="C125" t="s">
        <v>241</v>
      </c>
      <c r="D125">
        <v>107595992240618</v>
      </c>
      <c r="E125" t="s">
        <v>232</v>
      </c>
      <c r="M125">
        <v>20181119</v>
      </c>
      <c r="N125" t="s">
        <v>217</v>
      </c>
      <c r="O125" s="43">
        <v>202406181138</v>
      </c>
    </row>
    <row r="126" spans="1:15" x14ac:dyDescent="0.2">
      <c r="A126" t="str">
        <f t="shared" si="1"/>
        <v>64214008 240 min</v>
      </c>
      <c r="B126">
        <v>64214008</v>
      </c>
      <c r="C126" t="s">
        <v>241</v>
      </c>
      <c r="D126">
        <v>107595984240618</v>
      </c>
      <c r="E126" t="s">
        <v>233</v>
      </c>
      <c r="M126">
        <v>20181119</v>
      </c>
      <c r="N126" t="s">
        <v>217</v>
      </c>
      <c r="O126" s="43">
        <v>202406181138</v>
      </c>
    </row>
    <row r="127" spans="1:15" x14ac:dyDescent="0.2">
      <c r="A127" t="str">
        <f t="shared" si="1"/>
        <v>60660775 0 min</v>
      </c>
      <c r="B127">
        <v>60660775</v>
      </c>
      <c r="C127" t="s">
        <v>215</v>
      </c>
      <c r="D127">
        <v>107478083240618</v>
      </c>
      <c r="E127" t="s">
        <v>235</v>
      </c>
      <c r="G127">
        <v>-25.99</v>
      </c>
      <c r="I127">
        <v>143</v>
      </c>
      <c r="J127">
        <v>35</v>
      </c>
      <c r="L127" t="s">
        <v>242</v>
      </c>
      <c r="M127">
        <v>20140513</v>
      </c>
      <c r="N127" t="s">
        <v>217</v>
      </c>
      <c r="O127" s="43">
        <v>202406111200</v>
      </c>
    </row>
    <row r="128" spans="1:15" x14ac:dyDescent="0.2">
      <c r="A128" t="str">
        <f t="shared" si="1"/>
        <v xml:space="preserve"> </v>
      </c>
    </row>
    <row r="129" spans="1:1" x14ac:dyDescent="0.2">
      <c r="A129" t="str">
        <f t="shared" si="1"/>
        <v xml:space="preserve"> </v>
      </c>
    </row>
    <row r="130" spans="1:1" x14ac:dyDescent="0.2">
      <c r="A130" t="str">
        <f t="shared" si="1"/>
        <v xml:space="preserve"> </v>
      </c>
    </row>
    <row r="131" spans="1:1" x14ac:dyDescent="0.2">
      <c r="A131" t="str">
        <f t="shared" ref="A131:A194" si="2">CONCATENATE(B131," ",E131)</f>
        <v xml:space="preserve"> </v>
      </c>
    </row>
    <row r="132" spans="1:1" x14ac:dyDescent="0.2">
      <c r="A132" t="str">
        <f t="shared" si="2"/>
        <v xml:space="preserve"> </v>
      </c>
    </row>
    <row r="133" spans="1:1" x14ac:dyDescent="0.2">
      <c r="A133" t="str">
        <f t="shared" si="2"/>
        <v xml:space="preserve"> </v>
      </c>
    </row>
    <row r="134" spans="1:1" x14ac:dyDescent="0.2">
      <c r="A134" t="str">
        <f t="shared" si="2"/>
        <v xml:space="preserve"> </v>
      </c>
    </row>
    <row r="135" spans="1:1" x14ac:dyDescent="0.2">
      <c r="A135" t="str">
        <f t="shared" si="2"/>
        <v xml:space="preserve"> </v>
      </c>
    </row>
    <row r="136" spans="1:1" x14ac:dyDescent="0.2">
      <c r="A136" t="str">
        <f t="shared" si="2"/>
        <v xml:space="preserve"> </v>
      </c>
    </row>
    <row r="137" spans="1:1" x14ac:dyDescent="0.2">
      <c r="A137" t="str">
        <f t="shared" si="2"/>
        <v xml:space="preserve"> </v>
      </c>
    </row>
    <row r="138" spans="1:1" x14ac:dyDescent="0.2">
      <c r="A138" t="str">
        <f t="shared" si="2"/>
        <v xml:space="preserve"> </v>
      </c>
    </row>
    <row r="139" spans="1:1" x14ac:dyDescent="0.2">
      <c r="A139" t="str">
        <f t="shared" si="2"/>
        <v xml:space="preserve"> </v>
      </c>
    </row>
    <row r="140" spans="1:1" x14ac:dyDescent="0.2">
      <c r="A140" t="str">
        <f t="shared" si="2"/>
        <v xml:space="preserve"> </v>
      </c>
    </row>
    <row r="141" spans="1:1" x14ac:dyDescent="0.2">
      <c r="A141" t="str">
        <f t="shared" si="2"/>
        <v xml:space="preserve"> </v>
      </c>
    </row>
    <row r="142" spans="1:1" x14ac:dyDescent="0.2">
      <c r="A142" t="str">
        <f t="shared" si="2"/>
        <v xml:space="preserve"> </v>
      </c>
    </row>
    <row r="143" spans="1:1" x14ac:dyDescent="0.2">
      <c r="A143" t="str">
        <f t="shared" si="2"/>
        <v xml:space="preserve"> </v>
      </c>
    </row>
    <row r="144" spans="1:1" x14ac:dyDescent="0.2">
      <c r="A144" t="str">
        <f t="shared" si="2"/>
        <v xml:space="preserve"> </v>
      </c>
    </row>
    <row r="145" spans="1:1" x14ac:dyDescent="0.2">
      <c r="A145" t="str">
        <f t="shared" si="2"/>
        <v xml:space="preserve"> </v>
      </c>
    </row>
    <row r="146" spans="1:1" x14ac:dyDescent="0.2">
      <c r="A146" t="str">
        <f t="shared" si="2"/>
        <v xml:space="preserve"> </v>
      </c>
    </row>
    <row r="147" spans="1:1" x14ac:dyDescent="0.2">
      <c r="A147" t="str">
        <f t="shared" si="2"/>
        <v xml:space="preserve"> </v>
      </c>
    </row>
    <row r="148" spans="1:1" x14ac:dyDescent="0.2">
      <c r="A148" t="str">
        <f t="shared" si="2"/>
        <v xml:space="preserve"> </v>
      </c>
    </row>
    <row r="149" spans="1:1" x14ac:dyDescent="0.2">
      <c r="A149" t="str">
        <f t="shared" si="2"/>
        <v xml:space="preserve"> </v>
      </c>
    </row>
    <row r="150" spans="1:1" x14ac:dyDescent="0.2">
      <c r="A150" t="str">
        <f t="shared" si="2"/>
        <v xml:space="preserve"> </v>
      </c>
    </row>
    <row r="151" spans="1:1" x14ac:dyDescent="0.2">
      <c r="A151" t="str">
        <f t="shared" si="2"/>
        <v xml:space="preserve"> </v>
      </c>
    </row>
    <row r="152" spans="1:1" x14ac:dyDescent="0.2">
      <c r="A152" t="str">
        <f t="shared" si="2"/>
        <v xml:space="preserve"> </v>
      </c>
    </row>
    <row r="153" spans="1:1" x14ac:dyDescent="0.2">
      <c r="A153" t="str">
        <f t="shared" si="2"/>
        <v xml:space="preserve"> </v>
      </c>
    </row>
    <row r="154" spans="1:1" x14ac:dyDescent="0.2">
      <c r="A154" t="str">
        <f t="shared" si="2"/>
        <v xml:space="preserve"> </v>
      </c>
    </row>
    <row r="155" spans="1:1" x14ac:dyDescent="0.2">
      <c r="A155" t="str">
        <f t="shared" si="2"/>
        <v xml:space="preserve"> </v>
      </c>
    </row>
    <row r="156" spans="1:1" x14ac:dyDescent="0.2">
      <c r="A156" t="str">
        <f t="shared" si="2"/>
        <v xml:space="preserve"> </v>
      </c>
    </row>
    <row r="157" spans="1:1" x14ac:dyDescent="0.2">
      <c r="A157" t="str">
        <f t="shared" si="2"/>
        <v xml:space="preserve"> </v>
      </c>
    </row>
    <row r="158" spans="1:1" x14ac:dyDescent="0.2">
      <c r="A158" t="str">
        <f t="shared" si="2"/>
        <v xml:space="preserve"> </v>
      </c>
    </row>
    <row r="159" spans="1:1" x14ac:dyDescent="0.2">
      <c r="A159" t="str">
        <f t="shared" si="2"/>
        <v xml:space="preserve"> </v>
      </c>
    </row>
    <row r="160" spans="1:1" x14ac:dyDescent="0.2">
      <c r="A160" t="str">
        <f t="shared" si="2"/>
        <v xml:space="preserve"> </v>
      </c>
    </row>
    <row r="161" spans="1:1" x14ac:dyDescent="0.2">
      <c r="A161" t="str">
        <f t="shared" si="2"/>
        <v xml:space="preserve"> </v>
      </c>
    </row>
    <row r="162" spans="1:1" x14ac:dyDescent="0.2">
      <c r="A162" t="str">
        <f t="shared" si="2"/>
        <v xml:space="preserve"> </v>
      </c>
    </row>
    <row r="163" spans="1:1" x14ac:dyDescent="0.2">
      <c r="A163" t="str">
        <f t="shared" si="2"/>
        <v xml:space="preserve"> </v>
      </c>
    </row>
    <row r="164" spans="1:1" x14ac:dyDescent="0.2">
      <c r="A164" t="str">
        <f t="shared" si="2"/>
        <v xml:space="preserve"> </v>
      </c>
    </row>
    <row r="165" spans="1:1" x14ac:dyDescent="0.2">
      <c r="A165" t="str">
        <f t="shared" si="2"/>
        <v xml:space="preserve"> </v>
      </c>
    </row>
    <row r="166" spans="1:1" x14ac:dyDescent="0.2">
      <c r="A166" t="str">
        <f t="shared" si="2"/>
        <v xml:space="preserve"> </v>
      </c>
    </row>
    <row r="167" spans="1:1" x14ac:dyDescent="0.2">
      <c r="A167" t="str">
        <f t="shared" si="2"/>
        <v xml:space="preserve"> </v>
      </c>
    </row>
    <row r="168" spans="1:1" x14ac:dyDescent="0.2">
      <c r="A168" t="str">
        <f t="shared" si="2"/>
        <v xml:space="preserve"> </v>
      </c>
    </row>
    <row r="169" spans="1:1" x14ac:dyDescent="0.2">
      <c r="A169" t="str">
        <f t="shared" si="2"/>
        <v xml:space="preserve"> </v>
      </c>
    </row>
    <row r="170" spans="1:1" x14ac:dyDescent="0.2">
      <c r="A170" t="str">
        <f t="shared" si="2"/>
        <v xml:space="preserve"> </v>
      </c>
    </row>
    <row r="171" spans="1:1" x14ac:dyDescent="0.2">
      <c r="A171" t="str">
        <f t="shared" si="2"/>
        <v xml:space="preserve"> </v>
      </c>
    </row>
    <row r="172" spans="1:1" x14ac:dyDescent="0.2">
      <c r="A172" t="str">
        <f t="shared" si="2"/>
        <v xml:space="preserve"> </v>
      </c>
    </row>
    <row r="173" spans="1:1" x14ac:dyDescent="0.2">
      <c r="A173" t="str">
        <f t="shared" si="2"/>
        <v xml:space="preserve"> </v>
      </c>
    </row>
    <row r="174" spans="1:1" x14ac:dyDescent="0.2">
      <c r="A174" t="str">
        <f t="shared" si="2"/>
        <v xml:space="preserve"> </v>
      </c>
    </row>
    <row r="175" spans="1:1" x14ac:dyDescent="0.2">
      <c r="A175" t="str">
        <f t="shared" si="2"/>
        <v xml:space="preserve"> </v>
      </c>
    </row>
    <row r="176" spans="1:1" x14ac:dyDescent="0.2">
      <c r="A176" t="str">
        <f t="shared" si="2"/>
        <v xml:space="preserve"> </v>
      </c>
    </row>
    <row r="177" spans="1:1" x14ac:dyDescent="0.2">
      <c r="A177" t="str">
        <f t="shared" si="2"/>
        <v xml:space="preserve"> </v>
      </c>
    </row>
    <row r="178" spans="1:1" x14ac:dyDescent="0.2">
      <c r="A178" t="str">
        <f t="shared" si="2"/>
        <v xml:space="preserve"> </v>
      </c>
    </row>
    <row r="179" spans="1:1" x14ac:dyDescent="0.2">
      <c r="A179" t="str">
        <f t="shared" si="2"/>
        <v xml:space="preserve"> </v>
      </c>
    </row>
    <row r="180" spans="1:1" x14ac:dyDescent="0.2">
      <c r="A180" t="str">
        <f t="shared" si="2"/>
        <v xml:space="preserve"> </v>
      </c>
    </row>
    <row r="181" spans="1:1" x14ac:dyDescent="0.2">
      <c r="A181" t="str">
        <f t="shared" si="2"/>
        <v xml:space="preserve"> </v>
      </c>
    </row>
    <row r="182" spans="1:1" x14ac:dyDescent="0.2">
      <c r="A182" t="str">
        <f t="shared" si="2"/>
        <v xml:space="preserve"> </v>
      </c>
    </row>
    <row r="183" spans="1:1" x14ac:dyDescent="0.2">
      <c r="A183" t="str">
        <f t="shared" si="2"/>
        <v xml:space="preserve"> </v>
      </c>
    </row>
    <row r="184" spans="1:1" x14ac:dyDescent="0.2">
      <c r="A184" t="str">
        <f t="shared" si="2"/>
        <v xml:space="preserve"> </v>
      </c>
    </row>
    <row r="185" spans="1:1" x14ac:dyDescent="0.2">
      <c r="A185" t="str">
        <f t="shared" si="2"/>
        <v xml:space="preserve"> </v>
      </c>
    </row>
    <row r="186" spans="1:1" x14ac:dyDescent="0.2">
      <c r="A186" t="str">
        <f t="shared" si="2"/>
        <v xml:space="preserve"> </v>
      </c>
    </row>
    <row r="187" spans="1:1" x14ac:dyDescent="0.2">
      <c r="A187" t="str">
        <f t="shared" si="2"/>
        <v xml:space="preserve"> </v>
      </c>
    </row>
    <row r="188" spans="1:1" x14ac:dyDescent="0.2">
      <c r="A188" t="str">
        <f t="shared" si="2"/>
        <v xml:space="preserve"> </v>
      </c>
    </row>
    <row r="189" spans="1:1" x14ac:dyDescent="0.2">
      <c r="A189" t="str">
        <f t="shared" si="2"/>
        <v xml:space="preserve"> </v>
      </c>
    </row>
    <row r="190" spans="1:1" x14ac:dyDescent="0.2">
      <c r="A190" t="str">
        <f t="shared" si="2"/>
        <v xml:space="preserve"> </v>
      </c>
    </row>
    <row r="191" spans="1:1" x14ac:dyDescent="0.2">
      <c r="A191" t="str">
        <f t="shared" si="2"/>
        <v xml:space="preserve"> </v>
      </c>
    </row>
    <row r="192" spans="1:1" x14ac:dyDescent="0.2">
      <c r="A192" t="str">
        <f t="shared" si="2"/>
        <v xml:space="preserve"> </v>
      </c>
    </row>
    <row r="193" spans="1:1" x14ac:dyDescent="0.2">
      <c r="A193" t="str">
        <f t="shared" si="2"/>
        <v xml:space="preserve"> </v>
      </c>
    </row>
    <row r="194" spans="1:1" x14ac:dyDescent="0.2">
      <c r="A194" t="str">
        <f t="shared" si="2"/>
        <v xml:space="preserve"> </v>
      </c>
    </row>
    <row r="195" spans="1:1" x14ac:dyDescent="0.2">
      <c r="A195" t="str">
        <f t="shared" ref="A195:A258" si="3">CONCATENATE(B195," ",E195)</f>
        <v xml:space="preserve"> </v>
      </c>
    </row>
    <row r="196" spans="1:1" x14ac:dyDescent="0.2">
      <c r="A196" t="str">
        <f t="shared" si="3"/>
        <v xml:space="preserve"> </v>
      </c>
    </row>
    <row r="197" spans="1:1" x14ac:dyDescent="0.2">
      <c r="A197" t="str">
        <f t="shared" si="3"/>
        <v xml:space="preserve"> </v>
      </c>
    </row>
    <row r="198" spans="1:1" x14ac:dyDescent="0.2">
      <c r="A198" t="str">
        <f t="shared" si="3"/>
        <v xml:space="preserve"> </v>
      </c>
    </row>
    <row r="199" spans="1:1" x14ac:dyDescent="0.2">
      <c r="A199" t="str">
        <f t="shared" si="3"/>
        <v xml:space="preserve"> </v>
      </c>
    </row>
    <row r="200" spans="1:1" x14ac:dyDescent="0.2">
      <c r="A200" t="str">
        <f t="shared" si="3"/>
        <v xml:space="preserve"> </v>
      </c>
    </row>
    <row r="201" spans="1:1" x14ac:dyDescent="0.2">
      <c r="A201" t="str">
        <f t="shared" si="3"/>
        <v xml:space="preserve"> </v>
      </c>
    </row>
    <row r="202" spans="1:1" x14ac:dyDescent="0.2">
      <c r="A202" t="str">
        <f t="shared" si="3"/>
        <v xml:space="preserve"> </v>
      </c>
    </row>
    <row r="203" spans="1:1" x14ac:dyDescent="0.2">
      <c r="A203" t="str">
        <f t="shared" si="3"/>
        <v xml:space="preserve"> </v>
      </c>
    </row>
    <row r="204" spans="1:1" x14ac:dyDescent="0.2">
      <c r="A204" t="str">
        <f t="shared" si="3"/>
        <v xml:space="preserve"> </v>
      </c>
    </row>
    <row r="205" spans="1:1" x14ac:dyDescent="0.2">
      <c r="A205" t="str">
        <f t="shared" si="3"/>
        <v xml:space="preserve"> </v>
      </c>
    </row>
    <row r="206" spans="1:1" x14ac:dyDescent="0.2">
      <c r="A206" t="str">
        <f t="shared" si="3"/>
        <v xml:space="preserve"> </v>
      </c>
    </row>
    <row r="207" spans="1:1" x14ac:dyDescent="0.2">
      <c r="A207" t="str">
        <f t="shared" si="3"/>
        <v xml:space="preserve"> </v>
      </c>
    </row>
    <row r="208" spans="1:1" x14ac:dyDescent="0.2">
      <c r="A208" t="str">
        <f t="shared" si="3"/>
        <v xml:space="preserve"> </v>
      </c>
    </row>
    <row r="209" spans="1:1" x14ac:dyDescent="0.2">
      <c r="A209" t="str">
        <f t="shared" si="3"/>
        <v xml:space="preserve"> </v>
      </c>
    </row>
    <row r="210" spans="1:1" x14ac:dyDescent="0.2">
      <c r="A210" t="str">
        <f t="shared" si="3"/>
        <v xml:space="preserve"> </v>
      </c>
    </row>
    <row r="211" spans="1:1" x14ac:dyDescent="0.2">
      <c r="A211" t="str">
        <f t="shared" si="3"/>
        <v xml:space="preserve"> </v>
      </c>
    </row>
    <row r="212" spans="1:1" x14ac:dyDescent="0.2">
      <c r="A212" t="str">
        <f t="shared" si="3"/>
        <v xml:space="preserve"> </v>
      </c>
    </row>
    <row r="213" spans="1:1" x14ac:dyDescent="0.2">
      <c r="A213" t="str">
        <f t="shared" si="3"/>
        <v xml:space="preserve"> </v>
      </c>
    </row>
    <row r="214" spans="1:1" x14ac:dyDescent="0.2">
      <c r="A214" t="str">
        <f t="shared" si="3"/>
        <v xml:space="preserve"> </v>
      </c>
    </row>
    <row r="215" spans="1:1" x14ac:dyDescent="0.2">
      <c r="A215" t="str">
        <f t="shared" si="3"/>
        <v xml:space="preserve"> </v>
      </c>
    </row>
    <row r="216" spans="1:1" x14ac:dyDescent="0.2">
      <c r="A216" t="str">
        <f t="shared" si="3"/>
        <v xml:space="preserve"> </v>
      </c>
    </row>
    <row r="217" spans="1:1" x14ac:dyDescent="0.2">
      <c r="A217" t="str">
        <f t="shared" si="3"/>
        <v xml:space="preserve"> </v>
      </c>
    </row>
    <row r="218" spans="1:1" x14ac:dyDescent="0.2">
      <c r="A218" t="str">
        <f t="shared" si="3"/>
        <v xml:space="preserve"> </v>
      </c>
    </row>
    <row r="219" spans="1:1" x14ac:dyDescent="0.2">
      <c r="A219" t="str">
        <f t="shared" si="3"/>
        <v xml:space="preserve"> </v>
      </c>
    </row>
    <row r="220" spans="1:1" x14ac:dyDescent="0.2">
      <c r="A220" t="str">
        <f t="shared" si="3"/>
        <v xml:space="preserve"> </v>
      </c>
    </row>
    <row r="221" spans="1:1" x14ac:dyDescent="0.2">
      <c r="A221" t="str">
        <f t="shared" si="3"/>
        <v xml:space="preserve"> </v>
      </c>
    </row>
    <row r="222" spans="1:1" x14ac:dyDescent="0.2">
      <c r="A222" t="str">
        <f t="shared" si="3"/>
        <v xml:space="preserve"> </v>
      </c>
    </row>
    <row r="223" spans="1:1" x14ac:dyDescent="0.2">
      <c r="A223" t="str">
        <f t="shared" si="3"/>
        <v xml:space="preserve"> </v>
      </c>
    </row>
    <row r="224" spans="1:1" x14ac:dyDescent="0.2">
      <c r="A224" t="str">
        <f t="shared" si="3"/>
        <v xml:space="preserve"> </v>
      </c>
    </row>
    <row r="225" spans="1:1" x14ac:dyDescent="0.2">
      <c r="A225" t="str">
        <f t="shared" si="3"/>
        <v xml:space="preserve"> </v>
      </c>
    </row>
    <row r="226" spans="1:1" x14ac:dyDescent="0.2">
      <c r="A226" t="str">
        <f t="shared" si="3"/>
        <v xml:space="preserve"> </v>
      </c>
    </row>
    <row r="227" spans="1:1" x14ac:dyDescent="0.2">
      <c r="A227" t="str">
        <f t="shared" si="3"/>
        <v xml:space="preserve"> </v>
      </c>
    </row>
    <row r="228" spans="1:1" x14ac:dyDescent="0.2">
      <c r="A228" t="str">
        <f t="shared" si="3"/>
        <v xml:space="preserve"> </v>
      </c>
    </row>
    <row r="229" spans="1:1" x14ac:dyDescent="0.2">
      <c r="A229" t="str">
        <f t="shared" si="3"/>
        <v xml:space="preserve"> </v>
      </c>
    </row>
    <row r="230" spans="1:1" x14ac:dyDescent="0.2">
      <c r="A230" t="str">
        <f t="shared" si="3"/>
        <v xml:space="preserve"> </v>
      </c>
    </row>
    <row r="231" spans="1:1" x14ac:dyDescent="0.2">
      <c r="A231" t="str">
        <f t="shared" si="3"/>
        <v xml:space="preserve"> </v>
      </c>
    </row>
    <row r="232" spans="1:1" x14ac:dyDescent="0.2">
      <c r="A232" t="str">
        <f t="shared" si="3"/>
        <v xml:space="preserve"> </v>
      </c>
    </row>
    <row r="233" spans="1:1" x14ac:dyDescent="0.2">
      <c r="A233" t="str">
        <f t="shared" si="3"/>
        <v xml:space="preserve"> </v>
      </c>
    </row>
    <row r="234" spans="1:1" x14ac:dyDescent="0.2">
      <c r="A234" t="str">
        <f t="shared" si="3"/>
        <v xml:space="preserve"> </v>
      </c>
    </row>
    <row r="235" spans="1:1" x14ac:dyDescent="0.2">
      <c r="A235" t="str">
        <f t="shared" si="3"/>
        <v xml:space="preserve"> </v>
      </c>
    </row>
    <row r="236" spans="1:1" x14ac:dyDescent="0.2">
      <c r="A236" t="str">
        <f t="shared" si="3"/>
        <v xml:space="preserve"> </v>
      </c>
    </row>
    <row r="237" spans="1:1" x14ac:dyDescent="0.2">
      <c r="A237" t="str">
        <f t="shared" si="3"/>
        <v xml:space="preserve"> </v>
      </c>
    </row>
    <row r="238" spans="1:1" x14ac:dyDescent="0.2">
      <c r="A238" t="str">
        <f t="shared" si="3"/>
        <v xml:space="preserve"> </v>
      </c>
    </row>
    <row r="239" spans="1:1" x14ac:dyDescent="0.2">
      <c r="A239" t="str">
        <f t="shared" si="3"/>
        <v xml:space="preserve"> </v>
      </c>
    </row>
    <row r="240" spans="1:1" x14ac:dyDescent="0.2">
      <c r="A240" t="str">
        <f t="shared" si="3"/>
        <v xml:space="preserve"> </v>
      </c>
    </row>
    <row r="241" spans="1:1" x14ac:dyDescent="0.2">
      <c r="A241" t="str">
        <f t="shared" si="3"/>
        <v xml:space="preserve"> </v>
      </c>
    </row>
    <row r="242" spans="1:1" x14ac:dyDescent="0.2">
      <c r="A242" t="str">
        <f t="shared" si="3"/>
        <v xml:space="preserve"> </v>
      </c>
    </row>
    <row r="243" spans="1:1" x14ac:dyDescent="0.2">
      <c r="A243" t="str">
        <f t="shared" si="3"/>
        <v xml:space="preserve"> </v>
      </c>
    </row>
    <row r="244" spans="1:1" x14ac:dyDescent="0.2">
      <c r="A244" t="str">
        <f t="shared" si="3"/>
        <v xml:space="preserve"> </v>
      </c>
    </row>
    <row r="245" spans="1:1" x14ac:dyDescent="0.2">
      <c r="A245" t="str">
        <f t="shared" si="3"/>
        <v xml:space="preserve"> </v>
      </c>
    </row>
    <row r="246" spans="1:1" x14ac:dyDescent="0.2">
      <c r="A246" t="str">
        <f t="shared" si="3"/>
        <v xml:space="preserve"> </v>
      </c>
    </row>
    <row r="247" spans="1:1" x14ac:dyDescent="0.2">
      <c r="A247" t="str">
        <f t="shared" si="3"/>
        <v xml:space="preserve"> </v>
      </c>
    </row>
    <row r="248" spans="1:1" x14ac:dyDescent="0.2">
      <c r="A248" t="str">
        <f t="shared" si="3"/>
        <v xml:space="preserve"> </v>
      </c>
    </row>
    <row r="249" spans="1:1" x14ac:dyDescent="0.2">
      <c r="A249" t="str">
        <f t="shared" si="3"/>
        <v xml:space="preserve"> </v>
      </c>
    </row>
    <row r="250" spans="1:1" x14ac:dyDescent="0.2">
      <c r="A250" t="str">
        <f t="shared" si="3"/>
        <v xml:space="preserve"> </v>
      </c>
    </row>
    <row r="251" spans="1:1" x14ac:dyDescent="0.2">
      <c r="A251" t="str">
        <f t="shared" si="3"/>
        <v xml:space="preserve"> </v>
      </c>
    </row>
    <row r="252" spans="1:1" x14ac:dyDescent="0.2">
      <c r="A252" t="str">
        <f t="shared" si="3"/>
        <v xml:space="preserve"> </v>
      </c>
    </row>
    <row r="253" spans="1:1" x14ac:dyDescent="0.2">
      <c r="A253" t="str">
        <f t="shared" si="3"/>
        <v xml:space="preserve"> </v>
      </c>
    </row>
    <row r="254" spans="1:1" x14ac:dyDescent="0.2">
      <c r="A254" t="str">
        <f t="shared" si="3"/>
        <v xml:space="preserve"> </v>
      </c>
    </row>
    <row r="255" spans="1:1" x14ac:dyDescent="0.2">
      <c r="A255" t="str">
        <f t="shared" si="3"/>
        <v xml:space="preserve"> </v>
      </c>
    </row>
    <row r="256" spans="1:1" x14ac:dyDescent="0.2">
      <c r="A256" t="str">
        <f t="shared" si="3"/>
        <v xml:space="preserve"> </v>
      </c>
    </row>
    <row r="257" spans="1:1" x14ac:dyDescent="0.2">
      <c r="A257" t="str">
        <f t="shared" si="3"/>
        <v xml:space="preserve"> </v>
      </c>
    </row>
    <row r="258" spans="1:1" x14ac:dyDescent="0.2">
      <c r="A258" t="str">
        <f t="shared" si="3"/>
        <v xml:space="preserve"> </v>
      </c>
    </row>
    <row r="259" spans="1:1" x14ac:dyDescent="0.2">
      <c r="A259" t="str">
        <f t="shared" ref="A259:A322" si="4">CONCATENATE(B259," ",E259)</f>
        <v xml:space="preserve"> </v>
      </c>
    </row>
    <row r="260" spans="1:1" x14ac:dyDescent="0.2">
      <c r="A260" t="str">
        <f t="shared" si="4"/>
        <v xml:space="preserve"> </v>
      </c>
    </row>
    <row r="261" spans="1:1" x14ac:dyDescent="0.2">
      <c r="A261" t="str">
        <f t="shared" si="4"/>
        <v xml:space="preserve"> </v>
      </c>
    </row>
    <row r="262" spans="1:1" x14ac:dyDescent="0.2">
      <c r="A262" t="str">
        <f t="shared" si="4"/>
        <v xml:space="preserve"> </v>
      </c>
    </row>
    <row r="263" spans="1:1" x14ac:dyDescent="0.2">
      <c r="A263" t="str">
        <f t="shared" si="4"/>
        <v xml:space="preserve"> </v>
      </c>
    </row>
    <row r="264" spans="1:1" x14ac:dyDescent="0.2">
      <c r="A264" t="str">
        <f t="shared" si="4"/>
        <v xml:space="preserve"> </v>
      </c>
    </row>
    <row r="265" spans="1:1" x14ac:dyDescent="0.2">
      <c r="A265" t="str">
        <f t="shared" si="4"/>
        <v xml:space="preserve"> </v>
      </c>
    </row>
    <row r="266" spans="1:1" x14ac:dyDescent="0.2">
      <c r="A266" t="str">
        <f t="shared" si="4"/>
        <v xml:space="preserve"> </v>
      </c>
    </row>
    <row r="267" spans="1:1" x14ac:dyDescent="0.2">
      <c r="A267" t="str">
        <f t="shared" si="4"/>
        <v xml:space="preserve"> </v>
      </c>
    </row>
    <row r="268" spans="1:1" x14ac:dyDescent="0.2">
      <c r="A268" t="str">
        <f t="shared" si="4"/>
        <v xml:space="preserve"> </v>
      </c>
    </row>
    <row r="269" spans="1:1" x14ac:dyDescent="0.2">
      <c r="A269" t="str">
        <f t="shared" si="4"/>
        <v xml:space="preserve"> </v>
      </c>
    </row>
    <row r="270" spans="1:1" x14ac:dyDescent="0.2">
      <c r="A270" t="str">
        <f t="shared" si="4"/>
        <v xml:space="preserve"> </v>
      </c>
    </row>
    <row r="271" spans="1:1" x14ac:dyDescent="0.2">
      <c r="A271" t="str">
        <f t="shared" si="4"/>
        <v xml:space="preserve"> </v>
      </c>
    </row>
    <row r="272" spans="1:1" x14ac:dyDescent="0.2">
      <c r="A272" t="str">
        <f t="shared" si="4"/>
        <v xml:space="preserve"> </v>
      </c>
    </row>
    <row r="273" spans="1:1" x14ac:dyDescent="0.2">
      <c r="A273" t="str">
        <f t="shared" si="4"/>
        <v xml:space="preserve"> </v>
      </c>
    </row>
    <row r="274" spans="1:1" x14ac:dyDescent="0.2">
      <c r="A274" t="str">
        <f t="shared" si="4"/>
        <v xml:space="preserve"> </v>
      </c>
    </row>
    <row r="275" spans="1:1" x14ac:dyDescent="0.2">
      <c r="A275" t="str">
        <f t="shared" si="4"/>
        <v xml:space="preserve"> </v>
      </c>
    </row>
    <row r="276" spans="1:1" x14ac:dyDescent="0.2">
      <c r="A276" t="str">
        <f t="shared" si="4"/>
        <v xml:space="preserve"> </v>
      </c>
    </row>
    <row r="277" spans="1:1" x14ac:dyDescent="0.2">
      <c r="A277" t="str">
        <f t="shared" si="4"/>
        <v xml:space="preserve"> </v>
      </c>
    </row>
    <row r="278" spans="1:1" x14ac:dyDescent="0.2">
      <c r="A278" t="str">
        <f t="shared" si="4"/>
        <v xml:space="preserve"> </v>
      </c>
    </row>
    <row r="279" spans="1:1" x14ac:dyDescent="0.2">
      <c r="A279" t="str">
        <f t="shared" si="4"/>
        <v xml:space="preserve"> </v>
      </c>
    </row>
    <row r="280" spans="1:1" x14ac:dyDescent="0.2">
      <c r="A280" t="str">
        <f t="shared" si="4"/>
        <v xml:space="preserve"> </v>
      </c>
    </row>
    <row r="281" spans="1:1" x14ac:dyDescent="0.2">
      <c r="A281" t="str">
        <f t="shared" si="4"/>
        <v xml:space="preserve"> </v>
      </c>
    </row>
    <row r="282" spans="1:1" x14ac:dyDescent="0.2">
      <c r="A282" t="str">
        <f t="shared" si="4"/>
        <v xml:space="preserve"> </v>
      </c>
    </row>
    <row r="283" spans="1:1" x14ac:dyDescent="0.2">
      <c r="A283" t="str">
        <f t="shared" si="4"/>
        <v xml:space="preserve"> </v>
      </c>
    </row>
    <row r="284" spans="1:1" x14ac:dyDescent="0.2">
      <c r="A284" t="str">
        <f t="shared" si="4"/>
        <v xml:space="preserve"> </v>
      </c>
    </row>
    <row r="285" spans="1:1" x14ac:dyDescent="0.2">
      <c r="A285" t="str">
        <f t="shared" si="4"/>
        <v xml:space="preserve"> </v>
      </c>
    </row>
    <row r="286" spans="1:1" x14ac:dyDescent="0.2">
      <c r="A286" t="str">
        <f t="shared" si="4"/>
        <v xml:space="preserve"> </v>
      </c>
    </row>
    <row r="287" spans="1:1" x14ac:dyDescent="0.2">
      <c r="A287" t="str">
        <f t="shared" si="4"/>
        <v xml:space="preserve"> </v>
      </c>
    </row>
    <row r="288" spans="1:1" x14ac:dyDescent="0.2">
      <c r="A288" t="str">
        <f t="shared" si="4"/>
        <v xml:space="preserve"> </v>
      </c>
    </row>
    <row r="289" spans="1:1" x14ac:dyDescent="0.2">
      <c r="A289" t="str">
        <f t="shared" si="4"/>
        <v xml:space="preserve"> </v>
      </c>
    </row>
    <row r="290" spans="1:1" x14ac:dyDescent="0.2">
      <c r="A290" t="str">
        <f t="shared" si="4"/>
        <v xml:space="preserve"> </v>
      </c>
    </row>
    <row r="291" spans="1:1" x14ac:dyDescent="0.2">
      <c r="A291" t="str">
        <f t="shared" si="4"/>
        <v xml:space="preserve"> </v>
      </c>
    </row>
    <row r="292" spans="1:1" x14ac:dyDescent="0.2">
      <c r="A292" t="str">
        <f t="shared" si="4"/>
        <v xml:space="preserve"> </v>
      </c>
    </row>
    <row r="293" spans="1:1" x14ac:dyDescent="0.2">
      <c r="A293" t="str">
        <f t="shared" si="4"/>
        <v xml:space="preserve"> </v>
      </c>
    </row>
    <row r="294" spans="1:1" x14ac:dyDescent="0.2">
      <c r="A294" t="str">
        <f t="shared" si="4"/>
        <v xml:space="preserve"> </v>
      </c>
    </row>
    <row r="295" spans="1:1" x14ac:dyDescent="0.2">
      <c r="A295" t="str">
        <f t="shared" si="4"/>
        <v xml:space="preserve"> </v>
      </c>
    </row>
    <row r="296" spans="1:1" x14ac:dyDescent="0.2">
      <c r="A296" t="str">
        <f t="shared" si="4"/>
        <v xml:space="preserve"> </v>
      </c>
    </row>
    <row r="297" spans="1:1" x14ac:dyDescent="0.2">
      <c r="A297" t="str">
        <f t="shared" si="4"/>
        <v xml:space="preserve"> </v>
      </c>
    </row>
    <row r="298" spans="1:1" x14ac:dyDescent="0.2">
      <c r="A298" t="str">
        <f t="shared" si="4"/>
        <v xml:space="preserve"> </v>
      </c>
    </row>
    <row r="299" spans="1:1" x14ac:dyDescent="0.2">
      <c r="A299" t="str">
        <f t="shared" si="4"/>
        <v xml:space="preserve"> </v>
      </c>
    </row>
    <row r="300" spans="1:1" x14ac:dyDescent="0.2">
      <c r="A300" t="str">
        <f t="shared" si="4"/>
        <v xml:space="preserve"> </v>
      </c>
    </row>
    <row r="301" spans="1:1" x14ac:dyDescent="0.2">
      <c r="A301" t="str">
        <f t="shared" si="4"/>
        <v xml:space="preserve"> </v>
      </c>
    </row>
    <row r="302" spans="1:1" x14ac:dyDescent="0.2">
      <c r="A302" t="str">
        <f t="shared" si="4"/>
        <v xml:space="preserve"> </v>
      </c>
    </row>
    <row r="303" spans="1:1" x14ac:dyDescent="0.2">
      <c r="A303" t="str">
        <f t="shared" si="4"/>
        <v xml:space="preserve"> </v>
      </c>
    </row>
    <row r="304" spans="1:1" x14ac:dyDescent="0.2">
      <c r="A304" t="str">
        <f t="shared" si="4"/>
        <v xml:space="preserve"> </v>
      </c>
    </row>
    <row r="305" spans="1:1" x14ac:dyDescent="0.2">
      <c r="A305" t="str">
        <f t="shared" si="4"/>
        <v xml:space="preserve"> </v>
      </c>
    </row>
    <row r="306" spans="1:1" x14ac:dyDescent="0.2">
      <c r="A306" t="str">
        <f t="shared" si="4"/>
        <v xml:space="preserve"> </v>
      </c>
    </row>
    <row r="307" spans="1:1" x14ac:dyDescent="0.2">
      <c r="A307" t="str">
        <f t="shared" si="4"/>
        <v xml:space="preserve"> </v>
      </c>
    </row>
    <row r="308" spans="1:1" x14ac:dyDescent="0.2">
      <c r="A308" t="str">
        <f t="shared" si="4"/>
        <v xml:space="preserve"> </v>
      </c>
    </row>
    <row r="309" spans="1:1" x14ac:dyDescent="0.2">
      <c r="A309" t="str">
        <f t="shared" si="4"/>
        <v xml:space="preserve"> </v>
      </c>
    </row>
    <row r="310" spans="1:1" x14ac:dyDescent="0.2">
      <c r="A310" t="str">
        <f t="shared" si="4"/>
        <v xml:space="preserve"> </v>
      </c>
    </row>
    <row r="311" spans="1:1" x14ac:dyDescent="0.2">
      <c r="A311" t="str">
        <f t="shared" si="4"/>
        <v xml:space="preserve"> </v>
      </c>
    </row>
    <row r="312" spans="1:1" x14ac:dyDescent="0.2">
      <c r="A312" t="str">
        <f t="shared" si="4"/>
        <v xml:space="preserve"> </v>
      </c>
    </row>
    <row r="313" spans="1:1" x14ac:dyDescent="0.2">
      <c r="A313" t="str">
        <f t="shared" si="4"/>
        <v xml:space="preserve"> </v>
      </c>
    </row>
    <row r="314" spans="1:1" x14ac:dyDescent="0.2">
      <c r="A314" t="str">
        <f t="shared" si="4"/>
        <v xml:space="preserve"> </v>
      </c>
    </row>
    <row r="315" spans="1:1" x14ac:dyDescent="0.2">
      <c r="A315" t="str">
        <f t="shared" si="4"/>
        <v xml:space="preserve"> </v>
      </c>
    </row>
    <row r="316" spans="1:1" x14ac:dyDescent="0.2">
      <c r="A316" t="str">
        <f t="shared" si="4"/>
        <v xml:space="preserve"> </v>
      </c>
    </row>
    <row r="317" spans="1:1" x14ac:dyDescent="0.2">
      <c r="A317" t="str">
        <f t="shared" si="4"/>
        <v xml:space="preserve"> </v>
      </c>
    </row>
    <row r="318" spans="1:1" x14ac:dyDescent="0.2">
      <c r="A318" t="str">
        <f t="shared" si="4"/>
        <v xml:space="preserve"> </v>
      </c>
    </row>
    <row r="319" spans="1:1" x14ac:dyDescent="0.2">
      <c r="A319" t="str">
        <f t="shared" si="4"/>
        <v xml:space="preserve"> </v>
      </c>
    </row>
    <row r="320" spans="1:1" x14ac:dyDescent="0.2">
      <c r="A320" t="str">
        <f t="shared" si="4"/>
        <v xml:space="preserve"> </v>
      </c>
    </row>
    <row r="321" spans="1:1" x14ac:dyDescent="0.2">
      <c r="A321" t="str">
        <f t="shared" si="4"/>
        <v xml:space="preserve"> </v>
      </c>
    </row>
    <row r="322" spans="1:1" x14ac:dyDescent="0.2">
      <c r="A322" t="str">
        <f t="shared" si="4"/>
        <v xml:space="preserve"> </v>
      </c>
    </row>
    <row r="323" spans="1:1" x14ac:dyDescent="0.2">
      <c r="A323" t="str">
        <f t="shared" ref="A323:A386" si="5">CONCATENATE(B323," ",E323)</f>
        <v xml:space="preserve"> </v>
      </c>
    </row>
    <row r="324" spans="1:1" x14ac:dyDescent="0.2">
      <c r="A324" t="str">
        <f t="shared" si="5"/>
        <v xml:space="preserve"> </v>
      </c>
    </row>
    <row r="325" spans="1:1" x14ac:dyDescent="0.2">
      <c r="A325" t="str">
        <f t="shared" si="5"/>
        <v xml:space="preserve"> </v>
      </c>
    </row>
    <row r="326" spans="1:1" x14ac:dyDescent="0.2">
      <c r="A326" t="str">
        <f t="shared" si="5"/>
        <v xml:space="preserve"> </v>
      </c>
    </row>
    <row r="327" spans="1:1" x14ac:dyDescent="0.2">
      <c r="A327" t="str">
        <f t="shared" si="5"/>
        <v xml:space="preserve"> </v>
      </c>
    </row>
    <row r="328" spans="1:1" x14ac:dyDescent="0.2">
      <c r="A328" t="str">
        <f t="shared" si="5"/>
        <v xml:space="preserve"> </v>
      </c>
    </row>
    <row r="329" spans="1:1" x14ac:dyDescent="0.2">
      <c r="A329" t="str">
        <f t="shared" si="5"/>
        <v xml:space="preserve"> </v>
      </c>
    </row>
    <row r="330" spans="1:1" x14ac:dyDescent="0.2">
      <c r="A330" t="str">
        <f t="shared" si="5"/>
        <v xml:space="preserve"> </v>
      </c>
    </row>
    <row r="331" spans="1:1" x14ac:dyDescent="0.2">
      <c r="A331" t="str">
        <f t="shared" si="5"/>
        <v xml:space="preserve"> </v>
      </c>
    </row>
    <row r="332" spans="1:1" x14ac:dyDescent="0.2">
      <c r="A332" t="str">
        <f t="shared" si="5"/>
        <v xml:space="preserve"> </v>
      </c>
    </row>
    <row r="333" spans="1:1" x14ac:dyDescent="0.2">
      <c r="A333" t="str">
        <f t="shared" si="5"/>
        <v xml:space="preserve"> </v>
      </c>
    </row>
    <row r="334" spans="1:1" x14ac:dyDescent="0.2">
      <c r="A334" t="str">
        <f t="shared" si="5"/>
        <v xml:space="preserve"> </v>
      </c>
    </row>
    <row r="335" spans="1:1" x14ac:dyDescent="0.2">
      <c r="A335" t="str">
        <f t="shared" si="5"/>
        <v xml:space="preserve"> </v>
      </c>
    </row>
    <row r="336" spans="1:1" x14ac:dyDescent="0.2">
      <c r="A336" t="str">
        <f t="shared" si="5"/>
        <v xml:space="preserve"> </v>
      </c>
    </row>
    <row r="337" spans="1:1" x14ac:dyDescent="0.2">
      <c r="A337" t="str">
        <f t="shared" si="5"/>
        <v xml:space="preserve"> </v>
      </c>
    </row>
    <row r="338" spans="1:1" x14ac:dyDescent="0.2">
      <c r="A338" t="str">
        <f t="shared" si="5"/>
        <v xml:space="preserve"> </v>
      </c>
    </row>
    <row r="339" spans="1:1" x14ac:dyDescent="0.2">
      <c r="A339" t="str">
        <f t="shared" si="5"/>
        <v xml:space="preserve"> </v>
      </c>
    </row>
    <row r="340" spans="1:1" x14ac:dyDescent="0.2">
      <c r="A340" t="str">
        <f t="shared" si="5"/>
        <v xml:space="preserve"> </v>
      </c>
    </row>
    <row r="341" spans="1:1" x14ac:dyDescent="0.2">
      <c r="A341" t="str">
        <f t="shared" si="5"/>
        <v xml:space="preserve"> </v>
      </c>
    </row>
    <row r="342" spans="1:1" x14ac:dyDescent="0.2">
      <c r="A342" t="str">
        <f t="shared" si="5"/>
        <v xml:space="preserve"> </v>
      </c>
    </row>
    <row r="343" spans="1:1" x14ac:dyDescent="0.2">
      <c r="A343" t="str">
        <f t="shared" si="5"/>
        <v xml:space="preserve"> </v>
      </c>
    </row>
    <row r="344" spans="1:1" x14ac:dyDescent="0.2">
      <c r="A344" t="str">
        <f t="shared" si="5"/>
        <v xml:space="preserve"> </v>
      </c>
    </row>
    <row r="345" spans="1:1" x14ac:dyDescent="0.2">
      <c r="A345" t="str">
        <f t="shared" si="5"/>
        <v xml:space="preserve"> </v>
      </c>
    </row>
    <row r="346" spans="1:1" x14ac:dyDescent="0.2">
      <c r="A346" t="str">
        <f t="shared" si="5"/>
        <v xml:space="preserve"> </v>
      </c>
    </row>
    <row r="347" spans="1:1" x14ac:dyDescent="0.2">
      <c r="A347" t="str">
        <f t="shared" si="5"/>
        <v xml:space="preserve"> </v>
      </c>
    </row>
    <row r="348" spans="1:1" x14ac:dyDescent="0.2">
      <c r="A348" t="str">
        <f t="shared" si="5"/>
        <v xml:space="preserve"> </v>
      </c>
    </row>
    <row r="349" spans="1:1" x14ac:dyDescent="0.2">
      <c r="A349" t="str">
        <f t="shared" si="5"/>
        <v xml:space="preserve"> </v>
      </c>
    </row>
    <row r="350" spans="1:1" x14ac:dyDescent="0.2">
      <c r="A350" t="str">
        <f t="shared" si="5"/>
        <v xml:space="preserve"> </v>
      </c>
    </row>
    <row r="351" spans="1:1" x14ac:dyDescent="0.2">
      <c r="A351" t="str">
        <f t="shared" si="5"/>
        <v xml:space="preserve"> </v>
      </c>
    </row>
    <row r="352" spans="1:1" x14ac:dyDescent="0.2">
      <c r="A352" t="str">
        <f t="shared" si="5"/>
        <v xml:space="preserve"> </v>
      </c>
    </row>
    <row r="353" spans="1:1" x14ac:dyDescent="0.2">
      <c r="A353" t="str">
        <f t="shared" si="5"/>
        <v xml:space="preserve"> </v>
      </c>
    </row>
    <row r="354" spans="1:1" x14ac:dyDescent="0.2">
      <c r="A354" t="str">
        <f t="shared" si="5"/>
        <v xml:space="preserve"> </v>
      </c>
    </row>
    <row r="355" spans="1:1" x14ac:dyDescent="0.2">
      <c r="A355" t="str">
        <f t="shared" si="5"/>
        <v xml:space="preserve"> </v>
      </c>
    </row>
    <row r="356" spans="1:1" x14ac:dyDescent="0.2">
      <c r="A356" t="str">
        <f t="shared" si="5"/>
        <v xml:space="preserve"> </v>
      </c>
    </row>
    <row r="357" spans="1:1" x14ac:dyDescent="0.2">
      <c r="A357" t="str">
        <f t="shared" si="5"/>
        <v xml:space="preserve"> </v>
      </c>
    </row>
    <row r="358" spans="1:1" x14ac:dyDescent="0.2">
      <c r="A358" t="str">
        <f t="shared" si="5"/>
        <v xml:space="preserve"> </v>
      </c>
    </row>
    <row r="359" spans="1:1" x14ac:dyDescent="0.2">
      <c r="A359" t="str">
        <f t="shared" si="5"/>
        <v xml:space="preserve"> </v>
      </c>
    </row>
    <row r="360" spans="1:1" x14ac:dyDescent="0.2">
      <c r="A360" t="str">
        <f t="shared" si="5"/>
        <v xml:space="preserve"> </v>
      </c>
    </row>
    <row r="361" spans="1:1" x14ac:dyDescent="0.2">
      <c r="A361" t="str">
        <f t="shared" si="5"/>
        <v xml:space="preserve"> </v>
      </c>
    </row>
    <row r="362" spans="1:1" x14ac:dyDescent="0.2">
      <c r="A362" t="str">
        <f t="shared" si="5"/>
        <v xml:space="preserve"> </v>
      </c>
    </row>
    <row r="363" spans="1:1" x14ac:dyDescent="0.2">
      <c r="A363" t="str">
        <f t="shared" si="5"/>
        <v xml:space="preserve"> </v>
      </c>
    </row>
    <row r="364" spans="1:1" x14ac:dyDescent="0.2">
      <c r="A364" t="str">
        <f t="shared" si="5"/>
        <v xml:space="preserve"> </v>
      </c>
    </row>
    <row r="365" spans="1:1" x14ac:dyDescent="0.2">
      <c r="A365" t="str">
        <f t="shared" si="5"/>
        <v xml:space="preserve"> </v>
      </c>
    </row>
    <row r="366" spans="1:1" x14ac:dyDescent="0.2">
      <c r="A366" t="str">
        <f t="shared" si="5"/>
        <v xml:space="preserve"> </v>
      </c>
    </row>
    <row r="367" spans="1:1" x14ac:dyDescent="0.2">
      <c r="A367" t="str">
        <f t="shared" si="5"/>
        <v xml:space="preserve"> </v>
      </c>
    </row>
    <row r="368" spans="1:1" x14ac:dyDescent="0.2">
      <c r="A368" t="str">
        <f t="shared" si="5"/>
        <v xml:space="preserve"> </v>
      </c>
    </row>
    <row r="369" spans="1:1" x14ac:dyDescent="0.2">
      <c r="A369" t="str">
        <f t="shared" si="5"/>
        <v xml:space="preserve"> </v>
      </c>
    </row>
    <row r="370" spans="1:1" x14ac:dyDescent="0.2">
      <c r="A370" t="str">
        <f t="shared" si="5"/>
        <v xml:space="preserve"> </v>
      </c>
    </row>
    <row r="371" spans="1:1" x14ac:dyDescent="0.2">
      <c r="A371" t="str">
        <f t="shared" si="5"/>
        <v xml:space="preserve"> </v>
      </c>
    </row>
    <row r="372" spans="1:1" x14ac:dyDescent="0.2">
      <c r="A372" t="str">
        <f t="shared" si="5"/>
        <v xml:space="preserve"> </v>
      </c>
    </row>
    <row r="373" spans="1:1" x14ac:dyDescent="0.2">
      <c r="A373" t="str">
        <f t="shared" si="5"/>
        <v xml:space="preserve"> </v>
      </c>
    </row>
    <row r="374" spans="1:1" x14ac:dyDescent="0.2">
      <c r="A374" t="str">
        <f t="shared" si="5"/>
        <v xml:space="preserve"> </v>
      </c>
    </row>
    <row r="375" spans="1:1" x14ac:dyDescent="0.2">
      <c r="A375" t="str">
        <f t="shared" si="5"/>
        <v xml:space="preserve"> </v>
      </c>
    </row>
    <row r="376" spans="1:1" x14ac:dyDescent="0.2">
      <c r="A376" t="str">
        <f t="shared" si="5"/>
        <v xml:space="preserve"> </v>
      </c>
    </row>
    <row r="377" spans="1:1" x14ac:dyDescent="0.2">
      <c r="A377" t="str">
        <f t="shared" si="5"/>
        <v xml:space="preserve"> </v>
      </c>
    </row>
    <row r="378" spans="1:1" x14ac:dyDescent="0.2">
      <c r="A378" t="str">
        <f t="shared" si="5"/>
        <v xml:space="preserve"> </v>
      </c>
    </row>
    <row r="379" spans="1:1" x14ac:dyDescent="0.2">
      <c r="A379" t="str">
        <f t="shared" si="5"/>
        <v xml:space="preserve"> </v>
      </c>
    </row>
    <row r="380" spans="1:1" x14ac:dyDescent="0.2">
      <c r="A380" t="str">
        <f t="shared" si="5"/>
        <v xml:space="preserve"> </v>
      </c>
    </row>
    <row r="381" spans="1:1" x14ac:dyDescent="0.2">
      <c r="A381" t="str">
        <f t="shared" si="5"/>
        <v xml:space="preserve"> </v>
      </c>
    </row>
    <row r="382" spans="1:1" x14ac:dyDescent="0.2">
      <c r="A382" t="str">
        <f t="shared" si="5"/>
        <v xml:space="preserve"> </v>
      </c>
    </row>
    <row r="383" spans="1:1" x14ac:dyDescent="0.2">
      <c r="A383" t="str">
        <f t="shared" si="5"/>
        <v xml:space="preserve"> </v>
      </c>
    </row>
    <row r="384" spans="1:1" x14ac:dyDescent="0.2">
      <c r="A384" t="str">
        <f t="shared" si="5"/>
        <v xml:space="preserve"> </v>
      </c>
    </row>
    <row r="385" spans="1:1" x14ac:dyDescent="0.2">
      <c r="A385" t="str">
        <f t="shared" si="5"/>
        <v xml:space="preserve"> </v>
      </c>
    </row>
    <row r="386" spans="1:1" x14ac:dyDescent="0.2">
      <c r="A386" t="str">
        <f t="shared" si="5"/>
        <v xml:space="preserve"> </v>
      </c>
    </row>
    <row r="387" spans="1:1" x14ac:dyDescent="0.2">
      <c r="A387" t="str">
        <f t="shared" ref="A387:A450" si="6">CONCATENATE(B387," ",E387)</f>
        <v xml:space="preserve"> </v>
      </c>
    </row>
    <row r="388" spans="1:1" x14ac:dyDescent="0.2">
      <c r="A388" t="str">
        <f t="shared" si="6"/>
        <v xml:space="preserve"> </v>
      </c>
    </row>
    <row r="389" spans="1:1" x14ac:dyDescent="0.2">
      <c r="A389" t="str">
        <f t="shared" si="6"/>
        <v xml:space="preserve"> </v>
      </c>
    </row>
    <row r="390" spans="1:1" x14ac:dyDescent="0.2">
      <c r="A390" t="str">
        <f t="shared" si="6"/>
        <v xml:space="preserve"> </v>
      </c>
    </row>
    <row r="391" spans="1:1" x14ac:dyDescent="0.2">
      <c r="A391" t="str">
        <f t="shared" si="6"/>
        <v xml:space="preserve"> </v>
      </c>
    </row>
    <row r="392" spans="1:1" x14ac:dyDescent="0.2">
      <c r="A392" t="str">
        <f t="shared" si="6"/>
        <v xml:space="preserve"> </v>
      </c>
    </row>
    <row r="393" spans="1:1" x14ac:dyDescent="0.2">
      <c r="A393" t="str">
        <f t="shared" si="6"/>
        <v xml:space="preserve"> </v>
      </c>
    </row>
    <row r="394" spans="1:1" x14ac:dyDescent="0.2">
      <c r="A394" t="str">
        <f t="shared" si="6"/>
        <v xml:space="preserve"> </v>
      </c>
    </row>
    <row r="395" spans="1:1" x14ac:dyDescent="0.2">
      <c r="A395" t="str">
        <f t="shared" si="6"/>
        <v xml:space="preserve"> </v>
      </c>
    </row>
    <row r="396" spans="1:1" x14ac:dyDescent="0.2">
      <c r="A396" t="str">
        <f t="shared" si="6"/>
        <v xml:space="preserve"> </v>
      </c>
    </row>
    <row r="397" spans="1:1" x14ac:dyDescent="0.2">
      <c r="A397" t="str">
        <f t="shared" si="6"/>
        <v xml:space="preserve"> </v>
      </c>
    </row>
    <row r="398" spans="1:1" x14ac:dyDescent="0.2">
      <c r="A398" t="str">
        <f t="shared" si="6"/>
        <v xml:space="preserve"> </v>
      </c>
    </row>
    <row r="399" spans="1:1" x14ac:dyDescent="0.2">
      <c r="A399" t="str">
        <f t="shared" si="6"/>
        <v xml:space="preserve"> </v>
      </c>
    </row>
    <row r="400" spans="1:1" x14ac:dyDescent="0.2">
      <c r="A400" t="str">
        <f t="shared" si="6"/>
        <v xml:space="preserve"> </v>
      </c>
    </row>
    <row r="401" spans="1:1" x14ac:dyDescent="0.2">
      <c r="A401" t="str">
        <f t="shared" si="6"/>
        <v xml:space="preserve"> </v>
      </c>
    </row>
    <row r="402" spans="1:1" x14ac:dyDescent="0.2">
      <c r="A402" t="str">
        <f t="shared" si="6"/>
        <v xml:space="preserve"> </v>
      </c>
    </row>
    <row r="403" spans="1:1" x14ac:dyDescent="0.2">
      <c r="A403" t="str">
        <f t="shared" si="6"/>
        <v xml:space="preserve"> </v>
      </c>
    </row>
    <row r="404" spans="1:1" x14ac:dyDescent="0.2">
      <c r="A404" t="str">
        <f t="shared" si="6"/>
        <v xml:space="preserve"> </v>
      </c>
    </row>
    <row r="405" spans="1:1" x14ac:dyDescent="0.2">
      <c r="A405" t="str">
        <f t="shared" si="6"/>
        <v xml:space="preserve"> </v>
      </c>
    </row>
    <row r="406" spans="1:1" x14ac:dyDescent="0.2">
      <c r="A406" t="str">
        <f t="shared" si="6"/>
        <v xml:space="preserve"> </v>
      </c>
    </row>
    <row r="407" spans="1:1" x14ac:dyDescent="0.2">
      <c r="A407" t="str">
        <f t="shared" si="6"/>
        <v xml:space="preserve"> </v>
      </c>
    </row>
    <row r="408" spans="1:1" x14ac:dyDescent="0.2">
      <c r="A408" t="str">
        <f t="shared" si="6"/>
        <v xml:space="preserve"> </v>
      </c>
    </row>
    <row r="409" spans="1:1" x14ac:dyDescent="0.2">
      <c r="A409" t="str">
        <f t="shared" si="6"/>
        <v xml:space="preserve"> </v>
      </c>
    </row>
    <row r="410" spans="1:1" x14ac:dyDescent="0.2">
      <c r="A410" t="str">
        <f t="shared" si="6"/>
        <v xml:space="preserve"> </v>
      </c>
    </row>
    <row r="411" spans="1:1" x14ac:dyDescent="0.2">
      <c r="A411" t="str">
        <f t="shared" si="6"/>
        <v xml:space="preserve"> </v>
      </c>
    </row>
    <row r="412" spans="1:1" x14ac:dyDescent="0.2">
      <c r="A412" t="str">
        <f t="shared" si="6"/>
        <v xml:space="preserve"> </v>
      </c>
    </row>
    <row r="413" spans="1:1" x14ac:dyDescent="0.2">
      <c r="A413" t="str">
        <f t="shared" si="6"/>
        <v xml:space="preserve"> </v>
      </c>
    </row>
    <row r="414" spans="1:1" x14ac:dyDescent="0.2">
      <c r="A414" t="str">
        <f t="shared" si="6"/>
        <v xml:space="preserve"> </v>
      </c>
    </row>
    <row r="415" spans="1:1" x14ac:dyDescent="0.2">
      <c r="A415" t="str">
        <f t="shared" si="6"/>
        <v xml:space="preserve"> </v>
      </c>
    </row>
    <row r="416" spans="1:1" x14ac:dyDescent="0.2">
      <c r="A416" t="str">
        <f t="shared" si="6"/>
        <v xml:space="preserve"> </v>
      </c>
    </row>
    <row r="417" spans="1:1" x14ac:dyDescent="0.2">
      <c r="A417" t="str">
        <f t="shared" si="6"/>
        <v xml:space="preserve"> </v>
      </c>
    </row>
    <row r="418" spans="1:1" x14ac:dyDescent="0.2">
      <c r="A418" t="str">
        <f t="shared" si="6"/>
        <v xml:space="preserve"> </v>
      </c>
    </row>
    <row r="419" spans="1:1" x14ac:dyDescent="0.2">
      <c r="A419" t="str">
        <f t="shared" si="6"/>
        <v xml:space="preserve"> </v>
      </c>
    </row>
    <row r="420" spans="1:1" x14ac:dyDescent="0.2">
      <c r="A420" t="str">
        <f t="shared" si="6"/>
        <v xml:space="preserve"> </v>
      </c>
    </row>
    <row r="421" spans="1:1" x14ac:dyDescent="0.2">
      <c r="A421" t="str">
        <f t="shared" si="6"/>
        <v xml:space="preserve"> </v>
      </c>
    </row>
    <row r="422" spans="1:1" x14ac:dyDescent="0.2">
      <c r="A422" t="str">
        <f t="shared" si="6"/>
        <v xml:space="preserve"> </v>
      </c>
    </row>
    <row r="423" spans="1:1" x14ac:dyDescent="0.2">
      <c r="A423" t="str">
        <f t="shared" si="6"/>
        <v xml:space="preserve"> </v>
      </c>
    </row>
    <row r="424" spans="1:1" x14ac:dyDescent="0.2">
      <c r="A424" t="str">
        <f t="shared" si="6"/>
        <v xml:space="preserve"> </v>
      </c>
    </row>
    <row r="425" spans="1:1" x14ac:dyDescent="0.2">
      <c r="A425" t="str">
        <f t="shared" si="6"/>
        <v xml:space="preserve"> </v>
      </c>
    </row>
    <row r="426" spans="1:1" x14ac:dyDescent="0.2">
      <c r="A426" t="str">
        <f t="shared" si="6"/>
        <v xml:space="preserve"> </v>
      </c>
    </row>
    <row r="427" spans="1:1" x14ac:dyDescent="0.2">
      <c r="A427" t="str">
        <f t="shared" si="6"/>
        <v xml:space="preserve"> </v>
      </c>
    </row>
    <row r="428" spans="1:1" x14ac:dyDescent="0.2">
      <c r="A428" t="str">
        <f t="shared" si="6"/>
        <v xml:space="preserve"> </v>
      </c>
    </row>
    <row r="429" spans="1:1" x14ac:dyDescent="0.2">
      <c r="A429" t="str">
        <f t="shared" si="6"/>
        <v xml:space="preserve"> </v>
      </c>
    </row>
    <row r="430" spans="1:1" x14ac:dyDescent="0.2">
      <c r="A430" t="str">
        <f t="shared" si="6"/>
        <v xml:space="preserve"> </v>
      </c>
    </row>
    <row r="431" spans="1:1" x14ac:dyDescent="0.2">
      <c r="A431" t="str">
        <f t="shared" si="6"/>
        <v xml:space="preserve"> </v>
      </c>
    </row>
    <row r="432" spans="1:1" x14ac:dyDescent="0.2">
      <c r="A432" t="str">
        <f t="shared" si="6"/>
        <v xml:space="preserve"> </v>
      </c>
    </row>
    <row r="433" spans="1:1" x14ac:dyDescent="0.2">
      <c r="A433" t="str">
        <f t="shared" si="6"/>
        <v xml:space="preserve"> </v>
      </c>
    </row>
    <row r="434" spans="1:1" x14ac:dyDescent="0.2">
      <c r="A434" t="str">
        <f t="shared" si="6"/>
        <v xml:space="preserve"> </v>
      </c>
    </row>
    <row r="435" spans="1:1" x14ac:dyDescent="0.2">
      <c r="A435" t="str">
        <f t="shared" si="6"/>
        <v xml:space="preserve"> </v>
      </c>
    </row>
    <row r="436" spans="1:1" x14ac:dyDescent="0.2">
      <c r="A436" t="str">
        <f t="shared" si="6"/>
        <v xml:space="preserve"> </v>
      </c>
    </row>
    <row r="437" spans="1:1" x14ac:dyDescent="0.2">
      <c r="A437" t="str">
        <f t="shared" si="6"/>
        <v xml:space="preserve"> </v>
      </c>
    </row>
    <row r="438" spans="1:1" x14ac:dyDescent="0.2">
      <c r="A438" t="str">
        <f t="shared" si="6"/>
        <v xml:space="preserve"> </v>
      </c>
    </row>
    <row r="439" spans="1:1" x14ac:dyDescent="0.2">
      <c r="A439" t="str">
        <f t="shared" si="6"/>
        <v xml:space="preserve"> </v>
      </c>
    </row>
    <row r="440" spans="1:1" x14ac:dyDescent="0.2">
      <c r="A440" t="str">
        <f t="shared" si="6"/>
        <v xml:space="preserve"> </v>
      </c>
    </row>
    <row r="441" spans="1:1" x14ac:dyDescent="0.2">
      <c r="A441" t="str">
        <f t="shared" si="6"/>
        <v xml:space="preserve"> </v>
      </c>
    </row>
    <row r="442" spans="1:1" x14ac:dyDescent="0.2">
      <c r="A442" t="str">
        <f t="shared" si="6"/>
        <v xml:space="preserve"> </v>
      </c>
    </row>
    <row r="443" spans="1:1" x14ac:dyDescent="0.2">
      <c r="A443" t="str">
        <f t="shared" si="6"/>
        <v xml:space="preserve"> </v>
      </c>
    </row>
    <row r="444" spans="1:1" x14ac:dyDescent="0.2">
      <c r="A444" t="str">
        <f t="shared" si="6"/>
        <v xml:space="preserve"> </v>
      </c>
    </row>
    <row r="445" spans="1:1" x14ac:dyDescent="0.2">
      <c r="A445" t="str">
        <f t="shared" si="6"/>
        <v xml:space="preserve"> </v>
      </c>
    </row>
    <row r="446" spans="1:1" x14ac:dyDescent="0.2">
      <c r="A446" t="str">
        <f t="shared" si="6"/>
        <v xml:space="preserve"> </v>
      </c>
    </row>
    <row r="447" spans="1:1" x14ac:dyDescent="0.2">
      <c r="A447" t="str">
        <f t="shared" si="6"/>
        <v xml:space="preserve"> </v>
      </c>
    </row>
    <row r="448" spans="1:1" x14ac:dyDescent="0.2">
      <c r="A448" t="str">
        <f t="shared" si="6"/>
        <v xml:space="preserve"> </v>
      </c>
    </row>
    <row r="449" spans="1:1" x14ac:dyDescent="0.2">
      <c r="A449" t="str">
        <f t="shared" si="6"/>
        <v xml:space="preserve"> </v>
      </c>
    </row>
    <row r="450" spans="1:1" x14ac:dyDescent="0.2">
      <c r="A450" t="str">
        <f t="shared" si="6"/>
        <v xml:space="preserve"> </v>
      </c>
    </row>
    <row r="451" spans="1:1" x14ac:dyDescent="0.2">
      <c r="A451" t="str">
        <f t="shared" ref="A451:A514" si="7">CONCATENATE(B451," ",E451)</f>
        <v xml:space="preserve"> </v>
      </c>
    </row>
    <row r="452" spans="1:1" x14ac:dyDescent="0.2">
      <c r="A452" t="str">
        <f t="shared" si="7"/>
        <v xml:space="preserve"> </v>
      </c>
    </row>
    <row r="453" spans="1:1" x14ac:dyDescent="0.2">
      <c r="A453" t="str">
        <f t="shared" si="7"/>
        <v xml:space="preserve"> </v>
      </c>
    </row>
    <row r="454" spans="1:1" x14ac:dyDescent="0.2">
      <c r="A454" t="str">
        <f t="shared" si="7"/>
        <v xml:space="preserve"> </v>
      </c>
    </row>
    <row r="455" spans="1:1" x14ac:dyDescent="0.2">
      <c r="A455" t="str">
        <f t="shared" si="7"/>
        <v xml:space="preserve"> </v>
      </c>
    </row>
    <row r="456" spans="1:1" x14ac:dyDescent="0.2">
      <c r="A456" t="str">
        <f t="shared" si="7"/>
        <v xml:space="preserve"> </v>
      </c>
    </row>
    <row r="457" spans="1:1" x14ac:dyDescent="0.2">
      <c r="A457" t="str">
        <f t="shared" si="7"/>
        <v xml:space="preserve"> </v>
      </c>
    </row>
    <row r="458" spans="1:1" x14ac:dyDescent="0.2">
      <c r="A458" t="str">
        <f t="shared" si="7"/>
        <v xml:space="preserve"> </v>
      </c>
    </row>
    <row r="459" spans="1:1" x14ac:dyDescent="0.2">
      <c r="A459" t="str">
        <f t="shared" si="7"/>
        <v xml:space="preserve"> </v>
      </c>
    </row>
    <row r="460" spans="1:1" x14ac:dyDescent="0.2">
      <c r="A460" t="str">
        <f t="shared" si="7"/>
        <v xml:space="preserve"> </v>
      </c>
    </row>
    <row r="461" spans="1:1" x14ac:dyDescent="0.2">
      <c r="A461" t="str">
        <f t="shared" si="7"/>
        <v xml:space="preserve"> </v>
      </c>
    </row>
    <row r="462" spans="1:1" x14ac:dyDescent="0.2">
      <c r="A462" t="str">
        <f t="shared" si="7"/>
        <v xml:space="preserve"> </v>
      </c>
    </row>
    <row r="463" spans="1:1" x14ac:dyDescent="0.2">
      <c r="A463" t="str">
        <f t="shared" si="7"/>
        <v xml:space="preserve"> </v>
      </c>
    </row>
    <row r="464" spans="1:1" x14ac:dyDescent="0.2">
      <c r="A464" t="str">
        <f t="shared" si="7"/>
        <v xml:space="preserve"> </v>
      </c>
    </row>
    <row r="465" spans="1:1" x14ac:dyDescent="0.2">
      <c r="A465" t="str">
        <f t="shared" si="7"/>
        <v xml:space="preserve"> </v>
      </c>
    </row>
    <row r="466" spans="1:1" x14ac:dyDescent="0.2">
      <c r="A466" t="str">
        <f t="shared" si="7"/>
        <v xml:space="preserve"> </v>
      </c>
    </row>
    <row r="467" spans="1:1" x14ac:dyDescent="0.2">
      <c r="A467" t="str">
        <f t="shared" si="7"/>
        <v xml:space="preserve"> </v>
      </c>
    </row>
    <row r="468" spans="1:1" x14ac:dyDescent="0.2">
      <c r="A468" t="str">
        <f t="shared" si="7"/>
        <v xml:space="preserve"> </v>
      </c>
    </row>
    <row r="469" spans="1:1" x14ac:dyDescent="0.2">
      <c r="A469" t="str">
        <f t="shared" si="7"/>
        <v xml:space="preserve"> </v>
      </c>
    </row>
    <row r="470" spans="1:1" x14ac:dyDescent="0.2">
      <c r="A470" t="str">
        <f t="shared" si="7"/>
        <v xml:space="preserve"> </v>
      </c>
    </row>
    <row r="471" spans="1:1" x14ac:dyDescent="0.2">
      <c r="A471" t="str">
        <f t="shared" si="7"/>
        <v xml:space="preserve"> </v>
      </c>
    </row>
    <row r="472" spans="1:1" x14ac:dyDescent="0.2">
      <c r="A472" t="str">
        <f t="shared" si="7"/>
        <v xml:space="preserve"> </v>
      </c>
    </row>
    <row r="473" spans="1:1" x14ac:dyDescent="0.2">
      <c r="A473" t="str">
        <f t="shared" si="7"/>
        <v xml:space="preserve"> </v>
      </c>
    </row>
    <row r="474" spans="1:1" x14ac:dyDescent="0.2">
      <c r="A474" t="str">
        <f t="shared" si="7"/>
        <v xml:space="preserve"> </v>
      </c>
    </row>
    <row r="475" spans="1:1" x14ac:dyDescent="0.2">
      <c r="A475" t="str">
        <f t="shared" si="7"/>
        <v xml:space="preserve"> </v>
      </c>
    </row>
    <row r="476" spans="1:1" x14ac:dyDescent="0.2">
      <c r="A476" t="str">
        <f t="shared" si="7"/>
        <v xml:space="preserve"> </v>
      </c>
    </row>
    <row r="477" spans="1:1" x14ac:dyDescent="0.2">
      <c r="A477" t="str">
        <f t="shared" si="7"/>
        <v xml:space="preserve"> </v>
      </c>
    </row>
    <row r="478" spans="1:1" x14ac:dyDescent="0.2">
      <c r="A478" t="str">
        <f t="shared" si="7"/>
        <v xml:space="preserve"> </v>
      </c>
    </row>
    <row r="479" spans="1:1" x14ac:dyDescent="0.2">
      <c r="A479" t="str">
        <f t="shared" si="7"/>
        <v xml:space="preserve"> </v>
      </c>
    </row>
    <row r="480" spans="1:1" x14ac:dyDescent="0.2">
      <c r="A480" t="str">
        <f t="shared" si="7"/>
        <v xml:space="preserve"> </v>
      </c>
    </row>
    <row r="481" spans="1:1" x14ac:dyDescent="0.2">
      <c r="A481" t="str">
        <f t="shared" si="7"/>
        <v xml:space="preserve"> </v>
      </c>
    </row>
    <row r="482" spans="1:1" x14ac:dyDescent="0.2">
      <c r="A482" t="str">
        <f t="shared" si="7"/>
        <v xml:space="preserve"> </v>
      </c>
    </row>
    <row r="483" spans="1:1" x14ac:dyDescent="0.2">
      <c r="A483" t="str">
        <f t="shared" si="7"/>
        <v xml:space="preserve"> </v>
      </c>
    </row>
    <row r="484" spans="1:1" x14ac:dyDescent="0.2">
      <c r="A484" t="str">
        <f t="shared" si="7"/>
        <v xml:space="preserve"> </v>
      </c>
    </row>
    <row r="485" spans="1:1" x14ac:dyDescent="0.2">
      <c r="A485" t="str">
        <f t="shared" si="7"/>
        <v xml:space="preserve"> </v>
      </c>
    </row>
    <row r="486" spans="1:1" x14ac:dyDescent="0.2">
      <c r="A486" t="str">
        <f t="shared" si="7"/>
        <v xml:space="preserve"> </v>
      </c>
    </row>
    <row r="487" spans="1:1" x14ac:dyDescent="0.2">
      <c r="A487" t="str">
        <f t="shared" si="7"/>
        <v xml:space="preserve"> </v>
      </c>
    </row>
    <row r="488" spans="1:1" x14ac:dyDescent="0.2">
      <c r="A488" t="str">
        <f t="shared" si="7"/>
        <v xml:space="preserve"> </v>
      </c>
    </row>
    <row r="489" spans="1:1" x14ac:dyDescent="0.2">
      <c r="A489" t="str">
        <f t="shared" si="7"/>
        <v xml:space="preserve"> </v>
      </c>
    </row>
    <row r="490" spans="1:1" x14ac:dyDescent="0.2">
      <c r="A490" t="str">
        <f t="shared" si="7"/>
        <v xml:space="preserve"> </v>
      </c>
    </row>
    <row r="491" spans="1:1" x14ac:dyDescent="0.2">
      <c r="A491" t="str">
        <f t="shared" si="7"/>
        <v xml:space="preserve"> </v>
      </c>
    </row>
    <row r="492" spans="1:1" x14ac:dyDescent="0.2">
      <c r="A492" t="str">
        <f t="shared" si="7"/>
        <v xml:space="preserve"> </v>
      </c>
    </row>
    <row r="493" spans="1:1" x14ac:dyDescent="0.2">
      <c r="A493" t="str">
        <f t="shared" si="7"/>
        <v xml:space="preserve"> </v>
      </c>
    </row>
    <row r="494" spans="1:1" x14ac:dyDescent="0.2">
      <c r="A494" t="str">
        <f t="shared" si="7"/>
        <v xml:space="preserve"> </v>
      </c>
    </row>
    <row r="495" spans="1:1" x14ac:dyDescent="0.2">
      <c r="A495" t="str">
        <f t="shared" si="7"/>
        <v xml:space="preserve"> </v>
      </c>
    </row>
    <row r="496" spans="1:1" x14ac:dyDescent="0.2">
      <c r="A496" t="str">
        <f t="shared" si="7"/>
        <v xml:space="preserve"> </v>
      </c>
    </row>
    <row r="497" spans="1:1" x14ac:dyDescent="0.2">
      <c r="A497" t="str">
        <f t="shared" si="7"/>
        <v xml:space="preserve"> </v>
      </c>
    </row>
    <row r="498" spans="1:1" x14ac:dyDescent="0.2">
      <c r="A498" t="str">
        <f t="shared" si="7"/>
        <v xml:space="preserve"> </v>
      </c>
    </row>
    <row r="499" spans="1:1" x14ac:dyDescent="0.2">
      <c r="A499" t="str">
        <f t="shared" si="7"/>
        <v xml:space="preserve"> </v>
      </c>
    </row>
    <row r="500" spans="1:1" x14ac:dyDescent="0.2">
      <c r="A500" t="str">
        <f t="shared" si="7"/>
        <v xml:space="preserve"> </v>
      </c>
    </row>
    <row r="501" spans="1:1" x14ac:dyDescent="0.2">
      <c r="A501" t="str">
        <f t="shared" si="7"/>
        <v xml:space="preserve"> </v>
      </c>
    </row>
    <row r="502" spans="1:1" x14ac:dyDescent="0.2">
      <c r="A502" t="str">
        <f t="shared" si="7"/>
        <v xml:space="preserve"> </v>
      </c>
    </row>
    <row r="503" spans="1:1" x14ac:dyDescent="0.2">
      <c r="A503" t="str">
        <f t="shared" si="7"/>
        <v xml:space="preserve"> </v>
      </c>
    </row>
    <row r="504" spans="1:1" x14ac:dyDescent="0.2">
      <c r="A504" t="str">
        <f t="shared" si="7"/>
        <v xml:space="preserve"> </v>
      </c>
    </row>
    <row r="505" spans="1:1" x14ac:dyDescent="0.2">
      <c r="A505" t="str">
        <f t="shared" si="7"/>
        <v xml:space="preserve"> </v>
      </c>
    </row>
    <row r="506" spans="1:1" x14ac:dyDescent="0.2">
      <c r="A506" t="str">
        <f t="shared" si="7"/>
        <v xml:space="preserve"> </v>
      </c>
    </row>
    <row r="507" spans="1:1" x14ac:dyDescent="0.2">
      <c r="A507" t="str">
        <f t="shared" si="7"/>
        <v xml:space="preserve"> </v>
      </c>
    </row>
    <row r="508" spans="1:1" x14ac:dyDescent="0.2">
      <c r="A508" t="str">
        <f t="shared" si="7"/>
        <v xml:space="preserve"> </v>
      </c>
    </row>
    <row r="509" spans="1:1" x14ac:dyDescent="0.2">
      <c r="A509" t="str">
        <f t="shared" si="7"/>
        <v xml:space="preserve"> </v>
      </c>
    </row>
    <row r="510" spans="1:1" x14ac:dyDescent="0.2">
      <c r="A510" t="str">
        <f t="shared" si="7"/>
        <v xml:space="preserve"> </v>
      </c>
    </row>
    <row r="511" spans="1:1" x14ac:dyDescent="0.2">
      <c r="A511" t="str">
        <f t="shared" si="7"/>
        <v xml:space="preserve"> </v>
      </c>
    </row>
    <row r="512" spans="1:1" x14ac:dyDescent="0.2">
      <c r="A512" t="str">
        <f t="shared" si="7"/>
        <v xml:space="preserve"> </v>
      </c>
    </row>
    <row r="513" spans="1:1" x14ac:dyDescent="0.2">
      <c r="A513" t="str">
        <f t="shared" si="7"/>
        <v xml:space="preserve"> </v>
      </c>
    </row>
    <row r="514" spans="1:1" x14ac:dyDescent="0.2">
      <c r="A514" t="str">
        <f t="shared" si="7"/>
        <v xml:space="preserve"> </v>
      </c>
    </row>
    <row r="515" spans="1:1" x14ac:dyDescent="0.2">
      <c r="A515" t="str">
        <f t="shared" ref="A515:A578" si="8">CONCATENATE(B515," ",E515)</f>
        <v xml:space="preserve"> </v>
      </c>
    </row>
    <row r="516" spans="1:1" x14ac:dyDescent="0.2">
      <c r="A516" t="str">
        <f t="shared" si="8"/>
        <v xml:space="preserve"> </v>
      </c>
    </row>
    <row r="517" spans="1:1" x14ac:dyDescent="0.2">
      <c r="A517" t="str">
        <f t="shared" si="8"/>
        <v xml:space="preserve"> </v>
      </c>
    </row>
    <row r="518" spans="1:1" x14ac:dyDescent="0.2">
      <c r="A518" t="str">
        <f t="shared" si="8"/>
        <v xml:space="preserve"> </v>
      </c>
    </row>
    <row r="519" spans="1:1" x14ac:dyDescent="0.2">
      <c r="A519" t="str">
        <f t="shared" si="8"/>
        <v xml:space="preserve"> </v>
      </c>
    </row>
    <row r="520" spans="1:1" x14ac:dyDescent="0.2">
      <c r="A520" t="str">
        <f t="shared" si="8"/>
        <v xml:space="preserve"> </v>
      </c>
    </row>
    <row r="521" spans="1:1" x14ac:dyDescent="0.2">
      <c r="A521" t="str">
        <f t="shared" si="8"/>
        <v xml:space="preserve"> </v>
      </c>
    </row>
    <row r="522" spans="1:1" x14ac:dyDescent="0.2">
      <c r="A522" t="str">
        <f t="shared" si="8"/>
        <v xml:space="preserve"> </v>
      </c>
    </row>
    <row r="523" spans="1:1" x14ac:dyDescent="0.2">
      <c r="A523" t="str">
        <f t="shared" si="8"/>
        <v xml:space="preserve"> </v>
      </c>
    </row>
    <row r="524" spans="1:1" x14ac:dyDescent="0.2">
      <c r="A524" t="str">
        <f t="shared" si="8"/>
        <v xml:space="preserve"> </v>
      </c>
    </row>
    <row r="525" spans="1:1" x14ac:dyDescent="0.2">
      <c r="A525" t="str">
        <f t="shared" si="8"/>
        <v xml:space="preserve"> </v>
      </c>
    </row>
    <row r="526" spans="1:1" x14ac:dyDescent="0.2">
      <c r="A526" t="str">
        <f t="shared" si="8"/>
        <v xml:space="preserve"> </v>
      </c>
    </row>
    <row r="527" spans="1:1" x14ac:dyDescent="0.2">
      <c r="A527" t="str">
        <f t="shared" si="8"/>
        <v xml:space="preserve"> </v>
      </c>
    </row>
    <row r="528" spans="1:1" x14ac:dyDescent="0.2">
      <c r="A528" t="str">
        <f t="shared" si="8"/>
        <v xml:space="preserve"> </v>
      </c>
    </row>
    <row r="529" spans="1:1" x14ac:dyDescent="0.2">
      <c r="A529" t="str">
        <f t="shared" si="8"/>
        <v xml:space="preserve"> </v>
      </c>
    </row>
    <row r="530" spans="1:1" x14ac:dyDescent="0.2">
      <c r="A530" t="str">
        <f t="shared" si="8"/>
        <v xml:space="preserve"> </v>
      </c>
    </row>
    <row r="531" spans="1:1" x14ac:dyDescent="0.2">
      <c r="A531" t="str">
        <f t="shared" si="8"/>
        <v xml:space="preserve"> </v>
      </c>
    </row>
    <row r="532" spans="1:1" x14ac:dyDescent="0.2">
      <c r="A532" t="str">
        <f t="shared" si="8"/>
        <v xml:space="preserve"> </v>
      </c>
    </row>
    <row r="533" spans="1:1" x14ac:dyDescent="0.2">
      <c r="A533" t="str">
        <f t="shared" si="8"/>
        <v xml:space="preserve"> </v>
      </c>
    </row>
    <row r="534" spans="1:1" x14ac:dyDescent="0.2">
      <c r="A534" t="str">
        <f t="shared" si="8"/>
        <v xml:space="preserve"> </v>
      </c>
    </row>
    <row r="535" spans="1:1" x14ac:dyDescent="0.2">
      <c r="A535" t="str">
        <f t="shared" si="8"/>
        <v xml:space="preserve"> </v>
      </c>
    </row>
    <row r="536" spans="1:1" x14ac:dyDescent="0.2">
      <c r="A536" t="str">
        <f t="shared" si="8"/>
        <v xml:space="preserve"> </v>
      </c>
    </row>
    <row r="537" spans="1:1" x14ac:dyDescent="0.2">
      <c r="A537" t="str">
        <f t="shared" si="8"/>
        <v xml:space="preserve"> </v>
      </c>
    </row>
    <row r="538" spans="1:1" x14ac:dyDescent="0.2">
      <c r="A538" t="str">
        <f t="shared" si="8"/>
        <v xml:space="preserve"> </v>
      </c>
    </row>
    <row r="539" spans="1:1" x14ac:dyDescent="0.2">
      <c r="A539" t="str">
        <f t="shared" si="8"/>
        <v xml:space="preserve"> </v>
      </c>
    </row>
    <row r="540" spans="1:1" x14ac:dyDescent="0.2">
      <c r="A540" t="str">
        <f t="shared" si="8"/>
        <v xml:space="preserve"> </v>
      </c>
    </row>
    <row r="541" spans="1:1" x14ac:dyDescent="0.2">
      <c r="A541" t="str">
        <f t="shared" si="8"/>
        <v xml:space="preserve"> </v>
      </c>
    </row>
    <row r="542" spans="1:1" x14ac:dyDescent="0.2">
      <c r="A542" t="str">
        <f t="shared" si="8"/>
        <v xml:space="preserve"> </v>
      </c>
    </row>
    <row r="543" spans="1:1" x14ac:dyDescent="0.2">
      <c r="A543" t="str">
        <f t="shared" si="8"/>
        <v xml:space="preserve"> </v>
      </c>
    </row>
    <row r="544" spans="1:1" x14ac:dyDescent="0.2">
      <c r="A544" t="str">
        <f t="shared" si="8"/>
        <v xml:space="preserve"> </v>
      </c>
    </row>
    <row r="545" spans="1:1" x14ac:dyDescent="0.2">
      <c r="A545" t="str">
        <f t="shared" si="8"/>
        <v xml:space="preserve"> </v>
      </c>
    </row>
    <row r="546" spans="1:1" x14ac:dyDescent="0.2">
      <c r="A546" t="str">
        <f t="shared" si="8"/>
        <v xml:space="preserve"> </v>
      </c>
    </row>
    <row r="547" spans="1:1" x14ac:dyDescent="0.2">
      <c r="A547" t="str">
        <f t="shared" si="8"/>
        <v xml:space="preserve"> </v>
      </c>
    </row>
    <row r="548" spans="1:1" x14ac:dyDescent="0.2">
      <c r="A548" t="str">
        <f t="shared" si="8"/>
        <v xml:space="preserve"> </v>
      </c>
    </row>
    <row r="549" spans="1:1" x14ac:dyDescent="0.2">
      <c r="A549" t="str">
        <f t="shared" si="8"/>
        <v xml:space="preserve"> </v>
      </c>
    </row>
    <row r="550" spans="1:1" x14ac:dyDescent="0.2">
      <c r="A550" t="str">
        <f t="shared" si="8"/>
        <v xml:space="preserve"> </v>
      </c>
    </row>
    <row r="551" spans="1:1" x14ac:dyDescent="0.2">
      <c r="A551" t="str">
        <f t="shared" si="8"/>
        <v xml:space="preserve"> </v>
      </c>
    </row>
    <row r="552" spans="1:1" x14ac:dyDescent="0.2">
      <c r="A552" t="str">
        <f t="shared" si="8"/>
        <v xml:space="preserve"> </v>
      </c>
    </row>
    <row r="553" spans="1:1" x14ac:dyDescent="0.2">
      <c r="A553" t="str">
        <f t="shared" si="8"/>
        <v xml:space="preserve"> </v>
      </c>
    </row>
    <row r="554" spans="1:1" x14ac:dyDescent="0.2">
      <c r="A554" t="str">
        <f t="shared" si="8"/>
        <v xml:space="preserve"> </v>
      </c>
    </row>
    <row r="555" spans="1:1" x14ac:dyDescent="0.2">
      <c r="A555" t="str">
        <f t="shared" si="8"/>
        <v xml:space="preserve"> </v>
      </c>
    </row>
    <row r="556" spans="1:1" x14ac:dyDescent="0.2">
      <c r="A556" t="str">
        <f t="shared" si="8"/>
        <v xml:space="preserve"> </v>
      </c>
    </row>
    <row r="557" spans="1:1" x14ac:dyDescent="0.2">
      <c r="A557" t="str">
        <f t="shared" si="8"/>
        <v xml:space="preserve"> </v>
      </c>
    </row>
    <row r="558" spans="1:1" x14ac:dyDescent="0.2">
      <c r="A558" t="str">
        <f t="shared" si="8"/>
        <v xml:space="preserve"> </v>
      </c>
    </row>
    <row r="559" spans="1:1" x14ac:dyDescent="0.2">
      <c r="A559" t="str">
        <f t="shared" si="8"/>
        <v xml:space="preserve"> </v>
      </c>
    </row>
    <row r="560" spans="1:1" x14ac:dyDescent="0.2">
      <c r="A560" t="str">
        <f t="shared" si="8"/>
        <v xml:space="preserve"> </v>
      </c>
    </row>
    <row r="561" spans="1:1" x14ac:dyDescent="0.2">
      <c r="A561" t="str">
        <f t="shared" si="8"/>
        <v xml:space="preserve"> </v>
      </c>
    </row>
    <row r="562" spans="1:1" x14ac:dyDescent="0.2">
      <c r="A562" t="str">
        <f t="shared" si="8"/>
        <v xml:space="preserve"> </v>
      </c>
    </row>
    <row r="563" spans="1:1" x14ac:dyDescent="0.2">
      <c r="A563" t="str">
        <f t="shared" si="8"/>
        <v xml:space="preserve"> </v>
      </c>
    </row>
    <row r="564" spans="1:1" x14ac:dyDescent="0.2">
      <c r="A564" t="str">
        <f t="shared" si="8"/>
        <v xml:space="preserve"> </v>
      </c>
    </row>
    <row r="565" spans="1:1" x14ac:dyDescent="0.2">
      <c r="A565" t="str">
        <f t="shared" si="8"/>
        <v xml:space="preserve"> </v>
      </c>
    </row>
    <row r="566" spans="1:1" x14ac:dyDescent="0.2">
      <c r="A566" t="str">
        <f t="shared" si="8"/>
        <v xml:space="preserve"> </v>
      </c>
    </row>
    <row r="567" spans="1:1" x14ac:dyDescent="0.2">
      <c r="A567" t="str">
        <f t="shared" si="8"/>
        <v xml:space="preserve"> </v>
      </c>
    </row>
    <row r="568" spans="1:1" x14ac:dyDescent="0.2">
      <c r="A568" t="str">
        <f t="shared" si="8"/>
        <v xml:space="preserve"> </v>
      </c>
    </row>
    <row r="569" spans="1:1" x14ac:dyDescent="0.2">
      <c r="A569" t="str">
        <f t="shared" si="8"/>
        <v xml:space="preserve"> </v>
      </c>
    </row>
    <row r="570" spans="1:1" x14ac:dyDescent="0.2">
      <c r="A570" t="str">
        <f t="shared" si="8"/>
        <v xml:space="preserve"> </v>
      </c>
    </row>
    <row r="571" spans="1:1" x14ac:dyDescent="0.2">
      <c r="A571" t="str">
        <f t="shared" si="8"/>
        <v xml:space="preserve"> </v>
      </c>
    </row>
    <row r="572" spans="1:1" x14ac:dyDescent="0.2">
      <c r="A572" t="str">
        <f t="shared" si="8"/>
        <v xml:space="preserve"> </v>
      </c>
    </row>
    <row r="573" spans="1:1" x14ac:dyDescent="0.2">
      <c r="A573" t="str">
        <f t="shared" si="8"/>
        <v xml:space="preserve"> </v>
      </c>
    </row>
    <row r="574" spans="1:1" x14ac:dyDescent="0.2">
      <c r="A574" t="str">
        <f t="shared" si="8"/>
        <v xml:space="preserve"> </v>
      </c>
    </row>
    <row r="575" spans="1:1" x14ac:dyDescent="0.2">
      <c r="A575" t="str">
        <f t="shared" si="8"/>
        <v xml:space="preserve"> </v>
      </c>
    </row>
    <row r="576" spans="1:1" x14ac:dyDescent="0.2">
      <c r="A576" t="str">
        <f t="shared" si="8"/>
        <v xml:space="preserve"> </v>
      </c>
    </row>
    <row r="577" spans="1:1" x14ac:dyDescent="0.2">
      <c r="A577" t="str">
        <f t="shared" si="8"/>
        <v xml:space="preserve"> </v>
      </c>
    </row>
    <row r="578" spans="1:1" x14ac:dyDescent="0.2">
      <c r="A578" t="str">
        <f t="shared" si="8"/>
        <v xml:space="preserve"> </v>
      </c>
    </row>
    <row r="579" spans="1:1" x14ac:dyDescent="0.2">
      <c r="A579" t="str">
        <f t="shared" ref="A579:A642" si="9">CONCATENATE(B579," ",E579)</f>
        <v xml:space="preserve"> </v>
      </c>
    </row>
    <row r="580" spans="1:1" x14ac:dyDescent="0.2">
      <c r="A580" t="str">
        <f t="shared" si="9"/>
        <v xml:space="preserve"> </v>
      </c>
    </row>
    <row r="581" spans="1:1" x14ac:dyDescent="0.2">
      <c r="A581" t="str">
        <f t="shared" si="9"/>
        <v xml:space="preserve"> </v>
      </c>
    </row>
    <row r="582" spans="1:1" x14ac:dyDescent="0.2">
      <c r="A582" t="str">
        <f t="shared" si="9"/>
        <v xml:space="preserve"> </v>
      </c>
    </row>
    <row r="583" spans="1:1" x14ac:dyDescent="0.2">
      <c r="A583" t="str">
        <f t="shared" si="9"/>
        <v xml:space="preserve"> </v>
      </c>
    </row>
    <row r="584" spans="1:1" x14ac:dyDescent="0.2">
      <c r="A584" t="str">
        <f t="shared" si="9"/>
        <v xml:space="preserve"> </v>
      </c>
    </row>
    <row r="585" spans="1:1" x14ac:dyDescent="0.2">
      <c r="A585" t="str">
        <f t="shared" si="9"/>
        <v xml:space="preserve"> </v>
      </c>
    </row>
    <row r="586" spans="1:1" x14ac:dyDescent="0.2">
      <c r="A586" t="str">
        <f t="shared" si="9"/>
        <v xml:space="preserve"> </v>
      </c>
    </row>
    <row r="587" spans="1:1" x14ac:dyDescent="0.2">
      <c r="A587" t="str">
        <f t="shared" si="9"/>
        <v xml:space="preserve"> </v>
      </c>
    </row>
    <row r="588" spans="1:1" x14ac:dyDescent="0.2">
      <c r="A588" t="str">
        <f t="shared" si="9"/>
        <v xml:space="preserve"> </v>
      </c>
    </row>
    <row r="589" spans="1:1" x14ac:dyDescent="0.2">
      <c r="A589" t="str">
        <f t="shared" si="9"/>
        <v xml:space="preserve"> </v>
      </c>
    </row>
    <row r="590" spans="1:1" x14ac:dyDescent="0.2">
      <c r="A590" t="str">
        <f t="shared" si="9"/>
        <v xml:space="preserve"> </v>
      </c>
    </row>
    <row r="591" spans="1:1" x14ac:dyDescent="0.2">
      <c r="A591" t="str">
        <f t="shared" si="9"/>
        <v xml:space="preserve"> </v>
      </c>
    </row>
    <row r="592" spans="1:1" x14ac:dyDescent="0.2">
      <c r="A592" t="str">
        <f t="shared" si="9"/>
        <v xml:space="preserve"> </v>
      </c>
    </row>
    <row r="593" spans="1:1" x14ac:dyDescent="0.2">
      <c r="A593" t="str">
        <f t="shared" si="9"/>
        <v xml:space="preserve"> </v>
      </c>
    </row>
    <row r="594" spans="1:1" x14ac:dyDescent="0.2">
      <c r="A594" t="str">
        <f t="shared" si="9"/>
        <v xml:space="preserve"> </v>
      </c>
    </row>
    <row r="595" spans="1:1" x14ac:dyDescent="0.2">
      <c r="A595" t="str">
        <f t="shared" si="9"/>
        <v xml:space="preserve"> </v>
      </c>
    </row>
    <row r="596" spans="1:1" x14ac:dyDescent="0.2">
      <c r="A596" t="str">
        <f t="shared" si="9"/>
        <v xml:space="preserve"> </v>
      </c>
    </row>
    <row r="597" spans="1:1" x14ac:dyDescent="0.2">
      <c r="A597" t="str">
        <f t="shared" si="9"/>
        <v xml:space="preserve"> </v>
      </c>
    </row>
    <row r="598" spans="1:1" x14ac:dyDescent="0.2">
      <c r="A598" t="str">
        <f t="shared" si="9"/>
        <v xml:space="preserve"> </v>
      </c>
    </row>
    <row r="599" spans="1:1" x14ac:dyDescent="0.2">
      <c r="A599" t="str">
        <f t="shared" si="9"/>
        <v xml:space="preserve"> </v>
      </c>
    </row>
    <row r="600" spans="1:1" x14ac:dyDescent="0.2">
      <c r="A600" t="str">
        <f t="shared" si="9"/>
        <v xml:space="preserve"> </v>
      </c>
    </row>
    <row r="601" spans="1:1" x14ac:dyDescent="0.2">
      <c r="A601" t="str">
        <f t="shared" si="9"/>
        <v xml:space="preserve"> </v>
      </c>
    </row>
    <row r="602" spans="1:1" x14ac:dyDescent="0.2">
      <c r="A602" t="str">
        <f t="shared" si="9"/>
        <v xml:space="preserve"> </v>
      </c>
    </row>
    <row r="603" spans="1:1" x14ac:dyDescent="0.2">
      <c r="A603" t="str">
        <f t="shared" si="9"/>
        <v xml:space="preserve"> </v>
      </c>
    </row>
    <row r="604" spans="1:1" x14ac:dyDescent="0.2">
      <c r="A604" t="str">
        <f t="shared" si="9"/>
        <v xml:space="preserve"> </v>
      </c>
    </row>
    <row r="605" spans="1:1" x14ac:dyDescent="0.2">
      <c r="A605" t="str">
        <f t="shared" si="9"/>
        <v xml:space="preserve"> </v>
      </c>
    </row>
    <row r="606" spans="1:1" x14ac:dyDescent="0.2">
      <c r="A606" t="str">
        <f t="shared" si="9"/>
        <v xml:space="preserve"> </v>
      </c>
    </row>
    <row r="607" spans="1:1" x14ac:dyDescent="0.2">
      <c r="A607" t="str">
        <f t="shared" si="9"/>
        <v xml:space="preserve"> </v>
      </c>
    </row>
    <row r="608" spans="1:1" x14ac:dyDescent="0.2">
      <c r="A608" t="str">
        <f t="shared" si="9"/>
        <v xml:space="preserve"> </v>
      </c>
    </row>
    <row r="609" spans="1:1" x14ac:dyDescent="0.2">
      <c r="A609" t="str">
        <f t="shared" si="9"/>
        <v xml:space="preserve"> </v>
      </c>
    </row>
    <row r="610" spans="1:1" x14ac:dyDescent="0.2">
      <c r="A610" t="str">
        <f t="shared" si="9"/>
        <v xml:space="preserve"> </v>
      </c>
    </row>
    <row r="611" spans="1:1" x14ac:dyDescent="0.2">
      <c r="A611" t="str">
        <f t="shared" si="9"/>
        <v xml:space="preserve"> </v>
      </c>
    </row>
    <row r="612" spans="1:1" x14ac:dyDescent="0.2">
      <c r="A612" t="str">
        <f t="shared" si="9"/>
        <v xml:space="preserve"> </v>
      </c>
    </row>
    <row r="613" spans="1:1" x14ac:dyDescent="0.2">
      <c r="A613" t="str">
        <f t="shared" si="9"/>
        <v xml:space="preserve"> </v>
      </c>
    </row>
    <row r="614" spans="1:1" x14ac:dyDescent="0.2">
      <c r="A614" t="str">
        <f t="shared" si="9"/>
        <v xml:space="preserve"> </v>
      </c>
    </row>
    <row r="615" spans="1:1" x14ac:dyDescent="0.2">
      <c r="A615" t="str">
        <f t="shared" si="9"/>
        <v xml:space="preserve"> </v>
      </c>
    </row>
    <row r="616" spans="1:1" x14ac:dyDescent="0.2">
      <c r="A616" t="str">
        <f t="shared" si="9"/>
        <v xml:space="preserve"> </v>
      </c>
    </row>
    <row r="617" spans="1:1" x14ac:dyDescent="0.2">
      <c r="A617" t="str">
        <f t="shared" si="9"/>
        <v xml:space="preserve"> </v>
      </c>
    </row>
    <row r="618" spans="1:1" x14ac:dyDescent="0.2">
      <c r="A618" t="str">
        <f t="shared" si="9"/>
        <v xml:space="preserve"> </v>
      </c>
    </row>
    <row r="619" spans="1:1" x14ac:dyDescent="0.2">
      <c r="A619" t="str">
        <f t="shared" si="9"/>
        <v xml:space="preserve"> </v>
      </c>
    </row>
    <row r="620" spans="1:1" x14ac:dyDescent="0.2">
      <c r="A620" t="str">
        <f t="shared" si="9"/>
        <v xml:space="preserve"> </v>
      </c>
    </row>
    <row r="621" spans="1:1" x14ac:dyDescent="0.2">
      <c r="A621" t="str">
        <f t="shared" si="9"/>
        <v xml:space="preserve"> </v>
      </c>
    </row>
    <row r="622" spans="1:1" x14ac:dyDescent="0.2">
      <c r="A622" t="str">
        <f t="shared" si="9"/>
        <v xml:space="preserve"> </v>
      </c>
    </row>
    <row r="623" spans="1:1" x14ac:dyDescent="0.2">
      <c r="A623" t="str">
        <f t="shared" si="9"/>
        <v xml:space="preserve"> </v>
      </c>
    </row>
    <row r="624" spans="1:1" x14ac:dyDescent="0.2">
      <c r="A624" t="str">
        <f t="shared" si="9"/>
        <v xml:space="preserve"> </v>
      </c>
    </row>
    <row r="625" spans="1:1" x14ac:dyDescent="0.2">
      <c r="A625" t="str">
        <f t="shared" si="9"/>
        <v xml:space="preserve"> </v>
      </c>
    </row>
    <row r="626" spans="1:1" x14ac:dyDescent="0.2">
      <c r="A626" t="str">
        <f t="shared" si="9"/>
        <v xml:space="preserve"> </v>
      </c>
    </row>
    <row r="627" spans="1:1" x14ac:dyDescent="0.2">
      <c r="A627" t="str">
        <f t="shared" si="9"/>
        <v xml:space="preserve"> </v>
      </c>
    </row>
    <row r="628" spans="1:1" x14ac:dyDescent="0.2">
      <c r="A628" t="str">
        <f t="shared" si="9"/>
        <v xml:space="preserve"> </v>
      </c>
    </row>
    <row r="629" spans="1:1" x14ac:dyDescent="0.2">
      <c r="A629" t="str">
        <f t="shared" si="9"/>
        <v xml:space="preserve"> </v>
      </c>
    </row>
    <row r="630" spans="1:1" x14ac:dyDescent="0.2">
      <c r="A630" t="str">
        <f t="shared" si="9"/>
        <v xml:space="preserve"> </v>
      </c>
    </row>
    <row r="631" spans="1:1" x14ac:dyDescent="0.2">
      <c r="A631" t="str">
        <f t="shared" si="9"/>
        <v xml:space="preserve"> </v>
      </c>
    </row>
    <row r="632" spans="1:1" x14ac:dyDescent="0.2">
      <c r="A632" t="str">
        <f t="shared" si="9"/>
        <v xml:space="preserve"> </v>
      </c>
    </row>
    <row r="633" spans="1:1" x14ac:dyDescent="0.2">
      <c r="A633" t="str">
        <f t="shared" si="9"/>
        <v xml:space="preserve"> </v>
      </c>
    </row>
    <row r="634" spans="1:1" x14ac:dyDescent="0.2">
      <c r="A634" t="str">
        <f t="shared" si="9"/>
        <v xml:space="preserve"> </v>
      </c>
    </row>
    <row r="635" spans="1:1" x14ac:dyDescent="0.2">
      <c r="A635" t="str">
        <f t="shared" si="9"/>
        <v xml:space="preserve"> </v>
      </c>
    </row>
    <row r="636" spans="1:1" x14ac:dyDescent="0.2">
      <c r="A636" t="str">
        <f t="shared" si="9"/>
        <v xml:space="preserve"> </v>
      </c>
    </row>
    <row r="637" spans="1:1" x14ac:dyDescent="0.2">
      <c r="A637" t="str">
        <f t="shared" si="9"/>
        <v xml:space="preserve"> </v>
      </c>
    </row>
    <row r="638" spans="1:1" x14ac:dyDescent="0.2">
      <c r="A638" t="str">
        <f t="shared" si="9"/>
        <v xml:space="preserve"> </v>
      </c>
    </row>
    <row r="639" spans="1:1" x14ac:dyDescent="0.2">
      <c r="A639" t="str">
        <f t="shared" si="9"/>
        <v xml:space="preserve"> </v>
      </c>
    </row>
    <row r="640" spans="1:1" x14ac:dyDescent="0.2">
      <c r="A640" t="str">
        <f t="shared" si="9"/>
        <v xml:space="preserve"> </v>
      </c>
    </row>
    <row r="641" spans="1:1" x14ac:dyDescent="0.2">
      <c r="A641" t="str">
        <f t="shared" si="9"/>
        <v xml:space="preserve"> </v>
      </c>
    </row>
    <row r="642" spans="1:1" x14ac:dyDescent="0.2">
      <c r="A642" t="str">
        <f t="shared" si="9"/>
        <v xml:space="preserve"> </v>
      </c>
    </row>
    <row r="643" spans="1:1" x14ac:dyDescent="0.2">
      <c r="A643" t="str">
        <f t="shared" ref="A643:A706" si="10">CONCATENATE(B643," ",E643)</f>
        <v xml:space="preserve"> </v>
      </c>
    </row>
    <row r="644" spans="1:1" x14ac:dyDescent="0.2">
      <c r="A644" t="str">
        <f t="shared" si="10"/>
        <v xml:space="preserve"> </v>
      </c>
    </row>
    <row r="645" spans="1:1" x14ac:dyDescent="0.2">
      <c r="A645" t="str">
        <f t="shared" si="10"/>
        <v xml:space="preserve"> </v>
      </c>
    </row>
    <row r="646" spans="1:1" x14ac:dyDescent="0.2">
      <c r="A646" t="str">
        <f t="shared" si="10"/>
        <v xml:space="preserve"> </v>
      </c>
    </row>
    <row r="647" spans="1:1" x14ac:dyDescent="0.2">
      <c r="A647" t="str">
        <f t="shared" si="10"/>
        <v xml:space="preserve"> </v>
      </c>
    </row>
    <row r="648" spans="1:1" x14ac:dyDescent="0.2">
      <c r="A648" t="str">
        <f t="shared" si="10"/>
        <v xml:space="preserve"> </v>
      </c>
    </row>
    <row r="649" spans="1:1" x14ac:dyDescent="0.2">
      <c r="A649" t="str">
        <f t="shared" si="10"/>
        <v xml:space="preserve"> </v>
      </c>
    </row>
    <row r="650" spans="1:1" x14ac:dyDescent="0.2">
      <c r="A650" t="str">
        <f t="shared" si="10"/>
        <v xml:space="preserve"> </v>
      </c>
    </row>
    <row r="651" spans="1:1" x14ac:dyDescent="0.2">
      <c r="A651" t="str">
        <f t="shared" si="10"/>
        <v xml:space="preserve"> </v>
      </c>
    </row>
    <row r="652" spans="1:1" x14ac:dyDescent="0.2">
      <c r="A652" t="str">
        <f t="shared" si="10"/>
        <v xml:space="preserve"> </v>
      </c>
    </row>
    <row r="653" spans="1:1" x14ac:dyDescent="0.2">
      <c r="A653" t="str">
        <f t="shared" si="10"/>
        <v xml:space="preserve"> </v>
      </c>
    </row>
    <row r="654" spans="1:1" x14ac:dyDescent="0.2">
      <c r="A654" t="str">
        <f t="shared" si="10"/>
        <v xml:space="preserve"> </v>
      </c>
    </row>
    <row r="655" spans="1:1" x14ac:dyDescent="0.2">
      <c r="A655" t="str">
        <f t="shared" si="10"/>
        <v xml:space="preserve"> </v>
      </c>
    </row>
    <row r="656" spans="1:1" x14ac:dyDescent="0.2">
      <c r="A656" t="str">
        <f t="shared" si="10"/>
        <v xml:space="preserve"> </v>
      </c>
    </row>
    <row r="657" spans="1:1" x14ac:dyDescent="0.2">
      <c r="A657" t="str">
        <f t="shared" si="10"/>
        <v xml:space="preserve"> </v>
      </c>
    </row>
    <row r="658" spans="1:1" x14ac:dyDescent="0.2">
      <c r="A658" t="str">
        <f t="shared" si="10"/>
        <v xml:space="preserve"> </v>
      </c>
    </row>
    <row r="659" spans="1:1" x14ac:dyDescent="0.2">
      <c r="A659" t="str">
        <f t="shared" si="10"/>
        <v xml:space="preserve"> </v>
      </c>
    </row>
    <row r="660" spans="1:1" x14ac:dyDescent="0.2">
      <c r="A660" t="str">
        <f t="shared" si="10"/>
        <v xml:space="preserve"> </v>
      </c>
    </row>
    <row r="661" spans="1:1" x14ac:dyDescent="0.2">
      <c r="A661" t="str">
        <f t="shared" si="10"/>
        <v xml:space="preserve"> </v>
      </c>
    </row>
    <row r="662" spans="1:1" x14ac:dyDescent="0.2">
      <c r="A662" t="str">
        <f t="shared" si="10"/>
        <v xml:space="preserve"> </v>
      </c>
    </row>
    <row r="663" spans="1:1" x14ac:dyDescent="0.2">
      <c r="A663" t="str">
        <f t="shared" si="10"/>
        <v xml:space="preserve"> </v>
      </c>
    </row>
    <row r="664" spans="1:1" x14ac:dyDescent="0.2">
      <c r="A664" t="str">
        <f t="shared" si="10"/>
        <v xml:space="preserve"> </v>
      </c>
    </row>
    <row r="665" spans="1:1" x14ac:dyDescent="0.2">
      <c r="A665" t="str">
        <f t="shared" si="10"/>
        <v xml:space="preserve"> </v>
      </c>
    </row>
    <row r="666" spans="1:1" x14ac:dyDescent="0.2">
      <c r="A666" t="str">
        <f t="shared" si="10"/>
        <v xml:space="preserve"> </v>
      </c>
    </row>
    <row r="667" spans="1:1" x14ac:dyDescent="0.2">
      <c r="A667" t="str">
        <f t="shared" si="10"/>
        <v xml:space="preserve"> </v>
      </c>
    </row>
    <row r="668" spans="1:1" x14ac:dyDescent="0.2">
      <c r="A668" t="str">
        <f t="shared" si="10"/>
        <v xml:space="preserve"> </v>
      </c>
    </row>
    <row r="669" spans="1:1" x14ac:dyDescent="0.2">
      <c r="A669" t="str">
        <f t="shared" si="10"/>
        <v xml:space="preserve"> </v>
      </c>
    </row>
    <row r="670" spans="1:1" x14ac:dyDescent="0.2">
      <c r="A670" t="str">
        <f t="shared" si="10"/>
        <v xml:space="preserve"> </v>
      </c>
    </row>
    <row r="671" spans="1:1" x14ac:dyDescent="0.2">
      <c r="A671" t="str">
        <f t="shared" si="10"/>
        <v xml:space="preserve"> </v>
      </c>
    </row>
    <row r="672" spans="1:1" x14ac:dyDescent="0.2">
      <c r="A672" t="str">
        <f t="shared" si="10"/>
        <v xml:space="preserve"> </v>
      </c>
    </row>
    <row r="673" spans="1:1" x14ac:dyDescent="0.2">
      <c r="A673" t="str">
        <f t="shared" si="10"/>
        <v xml:space="preserve"> </v>
      </c>
    </row>
    <row r="674" spans="1:1" x14ac:dyDescent="0.2">
      <c r="A674" t="str">
        <f t="shared" si="10"/>
        <v xml:space="preserve"> </v>
      </c>
    </row>
    <row r="675" spans="1:1" x14ac:dyDescent="0.2">
      <c r="A675" t="str">
        <f t="shared" si="10"/>
        <v xml:space="preserve"> </v>
      </c>
    </row>
    <row r="676" spans="1:1" x14ac:dyDescent="0.2">
      <c r="A676" t="str">
        <f t="shared" si="10"/>
        <v xml:space="preserve"> </v>
      </c>
    </row>
    <row r="677" spans="1:1" x14ac:dyDescent="0.2">
      <c r="A677" t="str">
        <f t="shared" si="10"/>
        <v xml:space="preserve"> </v>
      </c>
    </row>
    <row r="678" spans="1:1" x14ac:dyDescent="0.2">
      <c r="A678" t="str">
        <f t="shared" si="10"/>
        <v xml:space="preserve"> </v>
      </c>
    </row>
    <row r="679" spans="1:1" x14ac:dyDescent="0.2">
      <c r="A679" t="str">
        <f t="shared" si="10"/>
        <v xml:space="preserve"> </v>
      </c>
    </row>
    <row r="680" spans="1:1" x14ac:dyDescent="0.2">
      <c r="A680" t="str">
        <f t="shared" si="10"/>
        <v xml:space="preserve"> </v>
      </c>
    </row>
    <row r="681" spans="1:1" x14ac:dyDescent="0.2">
      <c r="A681" t="str">
        <f t="shared" si="10"/>
        <v xml:space="preserve"> </v>
      </c>
    </row>
    <row r="682" spans="1:1" x14ac:dyDescent="0.2">
      <c r="A682" t="str">
        <f t="shared" si="10"/>
        <v xml:space="preserve"> </v>
      </c>
    </row>
    <row r="683" spans="1:1" x14ac:dyDescent="0.2">
      <c r="A683" t="str">
        <f t="shared" si="10"/>
        <v xml:space="preserve"> </v>
      </c>
    </row>
    <row r="684" spans="1:1" x14ac:dyDescent="0.2">
      <c r="A684" t="str">
        <f t="shared" si="10"/>
        <v xml:space="preserve"> </v>
      </c>
    </row>
    <row r="685" spans="1:1" x14ac:dyDescent="0.2">
      <c r="A685" t="str">
        <f t="shared" si="10"/>
        <v xml:space="preserve"> </v>
      </c>
    </row>
    <row r="686" spans="1:1" x14ac:dyDescent="0.2">
      <c r="A686" t="str">
        <f t="shared" si="10"/>
        <v xml:space="preserve"> </v>
      </c>
    </row>
    <row r="687" spans="1:1" x14ac:dyDescent="0.2">
      <c r="A687" t="str">
        <f t="shared" si="10"/>
        <v xml:space="preserve"> </v>
      </c>
    </row>
    <row r="688" spans="1:1" x14ac:dyDescent="0.2">
      <c r="A688" t="str">
        <f t="shared" si="10"/>
        <v xml:space="preserve"> </v>
      </c>
    </row>
    <row r="689" spans="1:1" x14ac:dyDescent="0.2">
      <c r="A689" t="str">
        <f t="shared" si="10"/>
        <v xml:space="preserve"> </v>
      </c>
    </row>
    <row r="690" spans="1:1" x14ac:dyDescent="0.2">
      <c r="A690" t="str">
        <f t="shared" si="10"/>
        <v xml:space="preserve"> </v>
      </c>
    </row>
    <row r="691" spans="1:1" x14ac:dyDescent="0.2">
      <c r="A691" t="str">
        <f t="shared" si="10"/>
        <v xml:space="preserve"> </v>
      </c>
    </row>
    <row r="692" spans="1:1" x14ac:dyDescent="0.2">
      <c r="A692" t="str">
        <f t="shared" si="10"/>
        <v xml:space="preserve"> </v>
      </c>
    </row>
    <row r="693" spans="1:1" x14ac:dyDescent="0.2">
      <c r="A693" t="str">
        <f t="shared" si="10"/>
        <v xml:space="preserve"> </v>
      </c>
    </row>
    <row r="694" spans="1:1" x14ac:dyDescent="0.2">
      <c r="A694" t="str">
        <f t="shared" si="10"/>
        <v xml:space="preserve"> </v>
      </c>
    </row>
    <row r="695" spans="1:1" x14ac:dyDescent="0.2">
      <c r="A695" t="str">
        <f t="shared" si="10"/>
        <v xml:space="preserve"> </v>
      </c>
    </row>
    <row r="696" spans="1:1" x14ac:dyDescent="0.2">
      <c r="A696" t="str">
        <f t="shared" si="10"/>
        <v xml:space="preserve"> </v>
      </c>
    </row>
    <row r="697" spans="1:1" x14ac:dyDescent="0.2">
      <c r="A697" t="str">
        <f t="shared" si="10"/>
        <v xml:space="preserve"> </v>
      </c>
    </row>
    <row r="698" spans="1:1" x14ac:dyDescent="0.2">
      <c r="A698" t="str">
        <f t="shared" si="10"/>
        <v xml:space="preserve"> </v>
      </c>
    </row>
    <row r="699" spans="1:1" x14ac:dyDescent="0.2">
      <c r="A699" t="str">
        <f t="shared" si="10"/>
        <v xml:space="preserve"> </v>
      </c>
    </row>
    <row r="700" spans="1:1" x14ac:dyDescent="0.2">
      <c r="A700" t="str">
        <f t="shared" si="10"/>
        <v xml:space="preserve"> </v>
      </c>
    </row>
    <row r="701" spans="1:1" x14ac:dyDescent="0.2">
      <c r="A701" t="str">
        <f t="shared" si="10"/>
        <v xml:space="preserve"> </v>
      </c>
    </row>
    <row r="702" spans="1:1" x14ac:dyDescent="0.2">
      <c r="A702" t="str">
        <f t="shared" si="10"/>
        <v xml:space="preserve"> </v>
      </c>
    </row>
    <row r="703" spans="1:1" x14ac:dyDescent="0.2">
      <c r="A703" t="str">
        <f t="shared" si="10"/>
        <v xml:space="preserve"> </v>
      </c>
    </row>
    <row r="704" spans="1:1" x14ac:dyDescent="0.2">
      <c r="A704" t="str">
        <f t="shared" si="10"/>
        <v xml:space="preserve"> </v>
      </c>
    </row>
    <row r="705" spans="1:1" x14ac:dyDescent="0.2">
      <c r="A705" t="str">
        <f t="shared" si="10"/>
        <v xml:space="preserve"> </v>
      </c>
    </row>
    <row r="706" spans="1:1" x14ac:dyDescent="0.2">
      <c r="A706" t="str">
        <f t="shared" si="10"/>
        <v xml:space="preserve"> </v>
      </c>
    </row>
    <row r="707" spans="1:1" x14ac:dyDescent="0.2">
      <c r="A707" t="str">
        <f t="shared" ref="A707:A770" si="11">CONCATENATE(B707," ",E707)</f>
        <v xml:space="preserve"> </v>
      </c>
    </row>
    <row r="708" spans="1:1" x14ac:dyDescent="0.2">
      <c r="A708" t="str">
        <f t="shared" si="11"/>
        <v xml:space="preserve"> </v>
      </c>
    </row>
    <row r="709" spans="1:1" x14ac:dyDescent="0.2">
      <c r="A709" t="str">
        <f t="shared" si="11"/>
        <v xml:space="preserve"> </v>
      </c>
    </row>
    <row r="710" spans="1:1" x14ac:dyDescent="0.2">
      <c r="A710" t="str">
        <f t="shared" si="11"/>
        <v xml:space="preserve"> </v>
      </c>
    </row>
    <row r="711" spans="1:1" x14ac:dyDescent="0.2">
      <c r="A711" t="str">
        <f t="shared" si="11"/>
        <v xml:space="preserve"> </v>
      </c>
    </row>
    <row r="712" spans="1:1" x14ac:dyDescent="0.2">
      <c r="A712" t="str">
        <f t="shared" si="11"/>
        <v xml:space="preserve"> </v>
      </c>
    </row>
    <row r="713" spans="1:1" x14ac:dyDescent="0.2">
      <c r="A713" t="str">
        <f t="shared" si="11"/>
        <v xml:space="preserve"> </v>
      </c>
    </row>
    <row r="714" spans="1:1" x14ac:dyDescent="0.2">
      <c r="A714" t="str">
        <f t="shared" si="11"/>
        <v xml:space="preserve"> </v>
      </c>
    </row>
    <row r="715" spans="1:1" x14ac:dyDescent="0.2">
      <c r="A715" t="str">
        <f t="shared" si="11"/>
        <v xml:space="preserve"> </v>
      </c>
    </row>
    <row r="716" spans="1:1" x14ac:dyDescent="0.2">
      <c r="A716" t="str">
        <f t="shared" si="11"/>
        <v xml:space="preserve"> </v>
      </c>
    </row>
    <row r="717" spans="1:1" x14ac:dyDescent="0.2">
      <c r="A717" t="str">
        <f t="shared" si="11"/>
        <v xml:space="preserve"> </v>
      </c>
    </row>
    <row r="718" spans="1:1" x14ac:dyDescent="0.2">
      <c r="A718" t="str">
        <f t="shared" si="11"/>
        <v xml:space="preserve"> </v>
      </c>
    </row>
    <row r="719" spans="1:1" x14ac:dyDescent="0.2">
      <c r="A719" t="str">
        <f t="shared" si="11"/>
        <v xml:space="preserve"> </v>
      </c>
    </row>
    <row r="720" spans="1:1" x14ac:dyDescent="0.2">
      <c r="A720" t="str">
        <f t="shared" si="11"/>
        <v xml:space="preserve"> </v>
      </c>
    </row>
    <row r="721" spans="1:1" x14ac:dyDescent="0.2">
      <c r="A721" t="str">
        <f t="shared" si="11"/>
        <v xml:space="preserve"> </v>
      </c>
    </row>
    <row r="722" spans="1:1" x14ac:dyDescent="0.2">
      <c r="A722" t="str">
        <f t="shared" si="11"/>
        <v xml:space="preserve"> </v>
      </c>
    </row>
    <row r="723" spans="1:1" x14ac:dyDescent="0.2">
      <c r="A723" t="str">
        <f t="shared" si="11"/>
        <v xml:space="preserve"> </v>
      </c>
    </row>
    <row r="724" spans="1:1" x14ac:dyDescent="0.2">
      <c r="A724" t="str">
        <f t="shared" si="11"/>
        <v xml:space="preserve"> </v>
      </c>
    </row>
    <row r="725" spans="1:1" x14ac:dyDescent="0.2">
      <c r="A725" t="str">
        <f t="shared" si="11"/>
        <v xml:space="preserve"> </v>
      </c>
    </row>
    <row r="726" spans="1:1" x14ac:dyDescent="0.2">
      <c r="A726" t="str">
        <f t="shared" si="11"/>
        <v xml:space="preserve"> </v>
      </c>
    </row>
    <row r="727" spans="1:1" x14ac:dyDescent="0.2">
      <c r="A727" t="str">
        <f t="shared" si="11"/>
        <v xml:space="preserve"> </v>
      </c>
    </row>
    <row r="728" spans="1:1" x14ac:dyDescent="0.2">
      <c r="A728" t="str">
        <f t="shared" si="11"/>
        <v xml:space="preserve"> </v>
      </c>
    </row>
    <row r="729" spans="1:1" x14ac:dyDescent="0.2">
      <c r="A729" t="str">
        <f t="shared" si="11"/>
        <v xml:space="preserve"> </v>
      </c>
    </row>
    <row r="730" spans="1:1" x14ac:dyDescent="0.2">
      <c r="A730" t="str">
        <f t="shared" si="11"/>
        <v xml:space="preserve"> </v>
      </c>
    </row>
    <row r="731" spans="1:1" x14ac:dyDescent="0.2">
      <c r="A731" t="str">
        <f t="shared" si="11"/>
        <v xml:space="preserve"> </v>
      </c>
    </row>
    <row r="732" spans="1:1" x14ac:dyDescent="0.2">
      <c r="A732" t="str">
        <f t="shared" si="11"/>
        <v xml:space="preserve"> </v>
      </c>
    </row>
    <row r="733" spans="1:1" x14ac:dyDescent="0.2">
      <c r="A733" t="str">
        <f t="shared" si="11"/>
        <v xml:space="preserve"> </v>
      </c>
    </row>
    <row r="734" spans="1:1" x14ac:dyDescent="0.2">
      <c r="A734" t="str">
        <f t="shared" si="11"/>
        <v xml:space="preserve"> </v>
      </c>
    </row>
    <row r="735" spans="1:1" x14ac:dyDescent="0.2">
      <c r="A735" t="str">
        <f t="shared" si="11"/>
        <v xml:space="preserve"> </v>
      </c>
    </row>
    <row r="736" spans="1:1" x14ac:dyDescent="0.2">
      <c r="A736" t="str">
        <f t="shared" si="11"/>
        <v xml:space="preserve"> </v>
      </c>
    </row>
    <row r="737" spans="1:1" x14ac:dyDescent="0.2">
      <c r="A737" t="str">
        <f t="shared" si="11"/>
        <v xml:space="preserve"> </v>
      </c>
    </row>
    <row r="738" spans="1:1" x14ac:dyDescent="0.2">
      <c r="A738" t="str">
        <f t="shared" si="11"/>
        <v xml:space="preserve"> </v>
      </c>
    </row>
    <row r="739" spans="1:1" x14ac:dyDescent="0.2">
      <c r="A739" t="str">
        <f t="shared" si="11"/>
        <v xml:space="preserve"> </v>
      </c>
    </row>
    <row r="740" spans="1:1" x14ac:dyDescent="0.2">
      <c r="A740" t="str">
        <f t="shared" si="11"/>
        <v xml:space="preserve"> </v>
      </c>
    </row>
    <row r="741" spans="1:1" x14ac:dyDescent="0.2">
      <c r="A741" t="str">
        <f t="shared" si="11"/>
        <v xml:space="preserve"> </v>
      </c>
    </row>
    <row r="742" spans="1:1" x14ac:dyDescent="0.2">
      <c r="A742" t="str">
        <f t="shared" si="11"/>
        <v xml:space="preserve"> </v>
      </c>
    </row>
    <row r="743" spans="1:1" x14ac:dyDescent="0.2">
      <c r="A743" t="str">
        <f t="shared" si="11"/>
        <v xml:space="preserve"> </v>
      </c>
    </row>
    <row r="744" spans="1:1" x14ac:dyDescent="0.2">
      <c r="A744" t="str">
        <f t="shared" si="11"/>
        <v xml:space="preserve"> </v>
      </c>
    </row>
    <row r="745" spans="1:1" x14ac:dyDescent="0.2">
      <c r="A745" t="str">
        <f t="shared" si="11"/>
        <v xml:space="preserve"> </v>
      </c>
    </row>
    <row r="746" spans="1:1" x14ac:dyDescent="0.2">
      <c r="A746" t="str">
        <f t="shared" si="11"/>
        <v xml:space="preserve"> </v>
      </c>
    </row>
    <row r="747" spans="1:1" x14ac:dyDescent="0.2">
      <c r="A747" t="str">
        <f t="shared" si="11"/>
        <v xml:space="preserve"> </v>
      </c>
    </row>
    <row r="748" spans="1:1" x14ac:dyDescent="0.2">
      <c r="A748" t="str">
        <f t="shared" si="11"/>
        <v xml:space="preserve"> </v>
      </c>
    </row>
    <row r="749" spans="1:1" x14ac:dyDescent="0.2">
      <c r="A749" t="str">
        <f t="shared" si="11"/>
        <v xml:space="preserve"> </v>
      </c>
    </row>
    <row r="750" spans="1:1" x14ac:dyDescent="0.2">
      <c r="A750" t="str">
        <f t="shared" si="11"/>
        <v xml:space="preserve"> </v>
      </c>
    </row>
    <row r="751" spans="1:1" x14ac:dyDescent="0.2">
      <c r="A751" t="str">
        <f t="shared" si="11"/>
        <v xml:space="preserve"> </v>
      </c>
    </row>
    <row r="752" spans="1:1" x14ac:dyDescent="0.2">
      <c r="A752" t="str">
        <f t="shared" si="11"/>
        <v xml:space="preserve"> </v>
      </c>
    </row>
    <row r="753" spans="1:1" x14ac:dyDescent="0.2">
      <c r="A753" t="str">
        <f t="shared" si="11"/>
        <v xml:space="preserve"> </v>
      </c>
    </row>
    <row r="754" spans="1:1" x14ac:dyDescent="0.2">
      <c r="A754" t="str">
        <f t="shared" si="11"/>
        <v xml:space="preserve"> </v>
      </c>
    </row>
    <row r="755" spans="1:1" x14ac:dyDescent="0.2">
      <c r="A755" t="str">
        <f t="shared" si="11"/>
        <v xml:space="preserve"> </v>
      </c>
    </row>
    <row r="756" spans="1:1" x14ac:dyDescent="0.2">
      <c r="A756" t="str">
        <f t="shared" si="11"/>
        <v xml:space="preserve"> </v>
      </c>
    </row>
    <row r="757" spans="1:1" x14ac:dyDescent="0.2">
      <c r="A757" t="str">
        <f t="shared" si="11"/>
        <v xml:space="preserve"> </v>
      </c>
    </row>
    <row r="758" spans="1:1" x14ac:dyDescent="0.2">
      <c r="A758" t="str">
        <f t="shared" si="11"/>
        <v xml:space="preserve"> </v>
      </c>
    </row>
    <row r="759" spans="1:1" x14ac:dyDescent="0.2">
      <c r="A759" t="str">
        <f t="shared" si="11"/>
        <v xml:space="preserve"> </v>
      </c>
    </row>
    <row r="760" spans="1:1" x14ac:dyDescent="0.2">
      <c r="A760" t="str">
        <f t="shared" si="11"/>
        <v xml:space="preserve"> </v>
      </c>
    </row>
    <row r="761" spans="1:1" x14ac:dyDescent="0.2">
      <c r="A761" t="str">
        <f t="shared" si="11"/>
        <v xml:space="preserve"> </v>
      </c>
    </row>
    <row r="762" spans="1:1" x14ac:dyDescent="0.2">
      <c r="A762" t="str">
        <f t="shared" si="11"/>
        <v xml:space="preserve"> </v>
      </c>
    </row>
    <row r="763" spans="1:1" x14ac:dyDescent="0.2">
      <c r="A763" t="str">
        <f t="shared" si="11"/>
        <v xml:space="preserve"> </v>
      </c>
    </row>
    <row r="764" spans="1:1" x14ac:dyDescent="0.2">
      <c r="A764" t="str">
        <f t="shared" si="11"/>
        <v xml:space="preserve"> </v>
      </c>
    </row>
    <row r="765" spans="1:1" x14ac:dyDescent="0.2">
      <c r="A765" t="str">
        <f t="shared" si="11"/>
        <v xml:space="preserve"> </v>
      </c>
    </row>
    <row r="766" spans="1:1" x14ac:dyDescent="0.2">
      <c r="A766" t="str">
        <f t="shared" si="11"/>
        <v xml:space="preserve"> </v>
      </c>
    </row>
    <row r="767" spans="1:1" x14ac:dyDescent="0.2">
      <c r="A767" t="str">
        <f t="shared" si="11"/>
        <v xml:space="preserve"> </v>
      </c>
    </row>
    <row r="768" spans="1:1" x14ac:dyDescent="0.2">
      <c r="A768" t="str">
        <f t="shared" si="11"/>
        <v xml:space="preserve"> </v>
      </c>
    </row>
    <row r="769" spans="1:1" x14ac:dyDescent="0.2">
      <c r="A769" t="str">
        <f t="shared" si="11"/>
        <v xml:space="preserve"> </v>
      </c>
    </row>
    <row r="770" spans="1:1" x14ac:dyDescent="0.2">
      <c r="A770" t="str">
        <f t="shared" si="11"/>
        <v xml:space="preserve"> </v>
      </c>
    </row>
    <row r="771" spans="1:1" x14ac:dyDescent="0.2">
      <c r="A771" t="str">
        <f t="shared" ref="A771:A834" si="12">CONCATENATE(B771," ",E771)</f>
        <v xml:space="preserve"> </v>
      </c>
    </row>
    <row r="772" spans="1:1" x14ac:dyDescent="0.2">
      <c r="A772" t="str">
        <f t="shared" si="12"/>
        <v xml:space="preserve"> </v>
      </c>
    </row>
    <row r="773" spans="1:1" x14ac:dyDescent="0.2">
      <c r="A773" t="str">
        <f t="shared" si="12"/>
        <v xml:space="preserve"> </v>
      </c>
    </row>
    <row r="774" spans="1:1" x14ac:dyDescent="0.2">
      <c r="A774" t="str">
        <f t="shared" si="12"/>
        <v xml:space="preserve"> </v>
      </c>
    </row>
    <row r="775" spans="1:1" x14ac:dyDescent="0.2">
      <c r="A775" t="str">
        <f t="shared" si="12"/>
        <v xml:space="preserve"> </v>
      </c>
    </row>
    <row r="776" spans="1:1" x14ac:dyDescent="0.2">
      <c r="A776" t="str">
        <f t="shared" si="12"/>
        <v xml:space="preserve"> </v>
      </c>
    </row>
    <row r="777" spans="1:1" x14ac:dyDescent="0.2">
      <c r="A777" t="str">
        <f t="shared" si="12"/>
        <v xml:space="preserve"> </v>
      </c>
    </row>
    <row r="778" spans="1:1" x14ac:dyDescent="0.2">
      <c r="A778" t="str">
        <f t="shared" si="12"/>
        <v xml:space="preserve"> </v>
      </c>
    </row>
    <row r="779" spans="1:1" x14ac:dyDescent="0.2">
      <c r="A779" t="str">
        <f t="shared" si="12"/>
        <v xml:space="preserve"> </v>
      </c>
    </row>
    <row r="780" spans="1:1" x14ac:dyDescent="0.2">
      <c r="A780" t="str">
        <f t="shared" si="12"/>
        <v xml:space="preserve"> </v>
      </c>
    </row>
    <row r="781" spans="1:1" x14ac:dyDescent="0.2">
      <c r="A781" t="str">
        <f t="shared" si="12"/>
        <v xml:space="preserve"> </v>
      </c>
    </row>
    <row r="782" spans="1:1" x14ac:dyDescent="0.2">
      <c r="A782" t="str">
        <f t="shared" si="12"/>
        <v xml:space="preserve"> </v>
      </c>
    </row>
    <row r="783" spans="1:1" x14ac:dyDescent="0.2">
      <c r="A783" t="str">
        <f t="shared" si="12"/>
        <v xml:space="preserve"> </v>
      </c>
    </row>
    <row r="784" spans="1:1" x14ac:dyDescent="0.2">
      <c r="A784" t="str">
        <f t="shared" si="12"/>
        <v xml:space="preserve"> </v>
      </c>
    </row>
    <row r="785" spans="1:1" x14ac:dyDescent="0.2">
      <c r="A785" t="str">
        <f t="shared" si="12"/>
        <v xml:space="preserve"> </v>
      </c>
    </row>
    <row r="786" spans="1:1" x14ac:dyDescent="0.2">
      <c r="A786" t="str">
        <f t="shared" si="12"/>
        <v xml:space="preserve"> </v>
      </c>
    </row>
    <row r="787" spans="1:1" x14ac:dyDescent="0.2">
      <c r="A787" t="str">
        <f t="shared" si="12"/>
        <v xml:space="preserve"> </v>
      </c>
    </row>
    <row r="788" spans="1:1" x14ac:dyDescent="0.2">
      <c r="A788" t="str">
        <f t="shared" si="12"/>
        <v xml:space="preserve"> </v>
      </c>
    </row>
    <row r="789" spans="1:1" x14ac:dyDescent="0.2">
      <c r="A789" t="str">
        <f t="shared" si="12"/>
        <v xml:space="preserve"> </v>
      </c>
    </row>
    <row r="790" spans="1:1" x14ac:dyDescent="0.2">
      <c r="A790" t="str">
        <f t="shared" si="12"/>
        <v xml:space="preserve"> </v>
      </c>
    </row>
    <row r="791" spans="1:1" x14ac:dyDescent="0.2">
      <c r="A791" t="str">
        <f t="shared" si="12"/>
        <v xml:space="preserve"> </v>
      </c>
    </row>
    <row r="792" spans="1:1" x14ac:dyDescent="0.2">
      <c r="A792" t="str">
        <f t="shared" si="12"/>
        <v xml:space="preserve"> </v>
      </c>
    </row>
    <row r="793" spans="1:1" x14ac:dyDescent="0.2">
      <c r="A793" t="str">
        <f t="shared" si="12"/>
        <v xml:space="preserve"> </v>
      </c>
    </row>
    <row r="794" spans="1:1" x14ac:dyDescent="0.2">
      <c r="A794" t="str">
        <f t="shared" si="12"/>
        <v xml:space="preserve"> </v>
      </c>
    </row>
    <row r="795" spans="1:1" x14ac:dyDescent="0.2">
      <c r="A795" t="str">
        <f t="shared" si="12"/>
        <v xml:space="preserve"> </v>
      </c>
    </row>
    <row r="796" spans="1:1" x14ac:dyDescent="0.2">
      <c r="A796" t="str">
        <f t="shared" si="12"/>
        <v xml:space="preserve"> </v>
      </c>
    </row>
    <row r="797" spans="1:1" x14ac:dyDescent="0.2">
      <c r="A797" t="str">
        <f t="shared" si="12"/>
        <v xml:space="preserve"> </v>
      </c>
    </row>
    <row r="798" spans="1:1" x14ac:dyDescent="0.2">
      <c r="A798" t="str">
        <f t="shared" si="12"/>
        <v xml:space="preserve"> </v>
      </c>
    </row>
    <row r="799" spans="1:1" x14ac:dyDescent="0.2">
      <c r="A799" t="str">
        <f t="shared" si="12"/>
        <v xml:space="preserve"> </v>
      </c>
    </row>
    <row r="800" spans="1:1" x14ac:dyDescent="0.2">
      <c r="A800" t="str">
        <f t="shared" si="12"/>
        <v xml:space="preserve"> </v>
      </c>
    </row>
    <row r="801" spans="1:1" x14ac:dyDescent="0.2">
      <c r="A801" t="str">
        <f t="shared" si="12"/>
        <v xml:space="preserve"> </v>
      </c>
    </row>
    <row r="802" spans="1:1" x14ac:dyDescent="0.2">
      <c r="A802" t="str">
        <f t="shared" si="12"/>
        <v xml:space="preserve"> </v>
      </c>
    </row>
    <row r="803" spans="1:1" x14ac:dyDescent="0.2">
      <c r="A803" t="str">
        <f t="shared" si="12"/>
        <v xml:space="preserve"> </v>
      </c>
    </row>
    <row r="804" spans="1:1" x14ac:dyDescent="0.2">
      <c r="A804" t="str">
        <f t="shared" si="12"/>
        <v xml:space="preserve"> </v>
      </c>
    </row>
    <row r="805" spans="1:1" x14ac:dyDescent="0.2">
      <c r="A805" t="str">
        <f t="shared" si="12"/>
        <v xml:space="preserve"> </v>
      </c>
    </row>
    <row r="806" spans="1:1" x14ac:dyDescent="0.2">
      <c r="A806" t="str">
        <f t="shared" si="12"/>
        <v xml:space="preserve"> </v>
      </c>
    </row>
    <row r="807" spans="1:1" x14ac:dyDescent="0.2">
      <c r="A807" t="str">
        <f t="shared" si="12"/>
        <v xml:space="preserve"> </v>
      </c>
    </row>
    <row r="808" spans="1:1" x14ac:dyDescent="0.2">
      <c r="A808" t="str">
        <f t="shared" si="12"/>
        <v xml:space="preserve"> </v>
      </c>
    </row>
    <row r="809" spans="1:1" x14ac:dyDescent="0.2">
      <c r="A809" t="str">
        <f t="shared" si="12"/>
        <v xml:space="preserve"> </v>
      </c>
    </row>
    <row r="810" spans="1:1" x14ac:dyDescent="0.2">
      <c r="A810" t="str">
        <f t="shared" si="12"/>
        <v xml:space="preserve"> </v>
      </c>
    </row>
    <row r="811" spans="1:1" x14ac:dyDescent="0.2">
      <c r="A811" t="str">
        <f t="shared" si="12"/>
        <v xml:space="preserve"> </v>
      </c>
    </row>
    <row r="812" spans="1:1" x14ac:dyDescent="0.2">
      <c r="A812" t="str">
        <f t="shared" si="12"/>
        <v xml:space="preserve"> </v>
      </c>
    </row>
    <row r="813" spans="1:1" x14ac:dyDescent="0.2">
      <c r="A813" t="str">
        <f t="shared" si="12"/>
        <v xml:space="preserve"> </v>
      </c>
    </row>
    <row r="814" spans="1:1" x14ac:dyDescent="0.2">
      <c r="A814" t="str">
        <f t="shared" si="12"/>
        <v xml:space="preserve"> </v>
      </c>
    </row>
    <row r="815" spans="1:1" x14ac:dyDescent="0.2">
      <c r="A815" t="str">
        <f t="shared" si="12"/>
        <v xml:space="preserve"> </v>
      </c>
    </row>
    <row r="816" spans="1:1" x14ac:dyDescent="0.2">
      <c r="A816" t="str">
        <f t="shared" si="12"/>
        <v xml:space="preserve"> </v>
      </c>
    </row>
    <row r="817" spans="1:1" x14ac:dyDescent="0.2">
      <c r="A817" t="str">
        <f t="shared" si="12"/>
        <v xml:space="preserve"> </v>
      </c>
    </row>
    <row r="818" spans="1:1" x14ac:dyDescent="0.2">
      <c r="A818" t="str">
        <f t="shared" si="12"/>
        <v xml:space="preserve"> </v>
      </c>
    </row>
    <row r="819" spans="1:1" x14ac:dyDescent="0.2">
      <c r="A819" t="str">
        <f t="shared" si="12"/>
        <v xml:space="preserve"> </v>
      </c>
    </row>
    <row r="820" spans="1:1" x14ac:dyDescent="0.2">
      <c r="A820" t="str">
        <f t="shared" si="12"/>
        <v xml:space="preserve"> </v>
      </c>
    </row>
    <row r="821" spans="1:1" x14ac:dyDescent="0.2">
      <c r="A821" t="str">
        <f t="shared" si="12"/>
        <v xml:space="preserve"> </v>
      </c>
    </row>
    <row r="822" spans="1:1" x14ac:dyDescent="0.2">
      <c r="A822" t="str">
        <f t="shared" si="12"/>
        <v xml:space="preserve"> </v>
      </c>
    </row>
    <row r="823" spans="1:1" x14ac:dyDescent="0.2">
      <c r="A823" t="str">
        <f t="shared" si="12"/>
        <v xml:space="preserve"> </v>
      </c>
    </row>
    <row r="824" spans="1:1" x14ac:dyDescent="0.2">
      <c r="A824" t="str">
        <f t="shared" si="12"/>
        <v xml:space="preserve"> </v>
      </c>
    </row>
    <row r="825" spans="1:1" x14ac:dyDescent="0.2">
      <c r="A825" t="str">
        <f t="shared" si="12"/>
        <v xml:space="preserve"> </v>
      </c>
    </row>
    <row r="826" spans="1:1" x14ac:dyDescent="0.2">
      <c r="A826" t="str">
        <f t="shared" si="12"/>
        <v xml:space="preserve"> </v>
      </c>
    </row>
    <row r="827" spans="1:1" x14ac:dyDescent="0.2">
      <c r="A827" t="str">
        <f t="shared" si="12"/>
        <v xml:space="preserve"> </v>
      </c>
    </row>
    <row r="828" spans="1:1" x14ac:dyDescent="0.2">
      <c r="A828" t="str">
        <f t="shared" si="12"/>
        <v xml:space="preserve"> </v>
      </c>
    </row>
    <row r="829" spans="1:1" x14ac:dyDescent="0.2">
      <c r="A829" t="str">
        <f t="shared" si="12"/>
        <v xml:space="preserve"> </v>
      </c>
    </row>
    <row r="830" spans="1:1" x14ac:dyDescent="0.2">
      <c r="A830" t="str">
        <f t="shared" si="12"/>
        <v xml:space="preserve"> </v>
      </c>
    </row>
    <row r="831" spans="1:1" x14ac:dyDescent="0.2">
      <c r="A831" t="str">
        <f t="shared" si="12"/>
        <v xml:space="preserve"> </v>
      </c>
    </row>
    <row r="832" spans="1:1" x14ac:dyDescent="0.2">
      <c r="A832" t="str">
        <f t="shared" si="12"/>
        <v xml:space="preserve"> </v>
      </c>
    </row>
    <row r="833" spans="1:1" x14ac:dyDescent="0.2">
      <c r="A833" t="str">
        <f t="shared" si="12"/>
        <v xml:space="preserve"> </v>
      </c>
    </row>
    <row r="834" spans="1:1" x14ac:dyDescent="0.2">
      <c r="A834" t="str">
        <f t="shared" si="12"/>
        <v xml:space="preserve"> </v>
      </c>
    </row>
    <row r="835" spans="1:1" x14ac:dyDescent="0.2">
      <c r="A835" t="str">
        <f t="shared" ref="A835:A898" si="13">CONCATENATE(B835," ",E835)</f>
        <v xml:space="preserve"> </v>
      </c>
    </row>
    <row r="836" spans="1:1" x14ac:dyDescent="0.2">
      <c r="A836" t="str">
        <f t="shared" si="13"/>
        <v xml:space="preserve"> </v>
      </c>
    </row>
    <row r="837" spans="1:1" x14ac:dyDescent="0.2">
      <c r="A837" t="str">
        <f t="shared" si="13"/>
        <v xml:space="preserve"> </v>
      </c>
    </row>
    <row r="838" spans="1:1" x14ac:dyDescent="0.2">
      <c r="A838" t="str">
        <f t="shared" si="13"/>
        <v xml:space="preserve"> </v>
      </c>
    </row>
    <row r="839" spans="1:1" x14ac:dyDescent="0.2">
      <c r="A839" t="str">
        <f t="shared" si="13"/>
        <v xml:space="preserve"> </v>
      </c>
    </row>
    <row r="840" spans="1:1" x14ac:dyDescent="0.2">
      <c r="A840" t="str">
        <f t="shared" si="13"/>
        <v xml:space="preserve"> </v>
      </c>
    </row>
    <row r="841" spans="1:1" x14ac:dyDescent="0.2">
      <c r="A841" t="str">
        <f t="shared" si="13"/>
        <v xml:space="preserve"> </v>
      </c>
    </row>
    <row r="842" spans="1:1" x14ac:dyDescent="0.2">
      <c r="A842" t="str">
        <f t="shared" si="13"/>
        <v xml:space="preserve"> </v>
      </c>
    </row>
    <row r="843" spans="1:1" x14ac:dyDescent="0.2">
      <c r="A843" t="str">
        <f t="shared" si="13"/>
        <v xml:space="preserve"> </v>
      </c>
    </row>
    <row r="844" spans="1:1" x14ac:dyDescent="0.2">
      <c r="A844" t="str">
        <f t="shared" si="13"/>
        <v xml:space="preserve"> </v>
      </c>
    </row>
    <row r="845" spans="1:1" x14ac:dyDescent="0.2">
      <c r="A845" t="str">
        <f t="shared" si="13"/>
        <v xml:space="preserve"> </v>
      </c>
    </row>
    <row r="846" spans="1:1" x14ac:dyDescent="0.2">
      <c r="A846" t="str">
        <f t="shared" si="13"/>
        <v xml:space="preserve"> </v>
      </c>
    </row>
    <row r="847" spans="1:1" x14ac:dyDescent="0.2">
      <c r="A847" t="str">
        <f t="shared" si="13"/>
        <v xml:space="preserve"> </v>
      </c>
    </row>
    <row r="848" spans="1:1" x14ac:dyDescent="0.2">
      <c r="A848" t="str">
        <f t="shared" si="13"/>
        <v xml:space="preserve"> </v>
      </c>
    </row>
    <row r="849" spans="1:1" x14ac:dyDescent="0.2">
      <c r="A849" t="str">
        <f t="shared" si="13"/>
        <v xml:space="preserve"> </v>
      </c>
    </row>
    <row r="850" spans="1:1" x14ac:dyDescent="0.2">
      <c r="A850" t="str">
        <f t="shared" si="13"/>
        <v xml:space="preserve"> </v>
      </c>
    </row>
    <row r="851" spans="1:1" x14ac:dyDescent="0.2">
      <c r="A851" t="str">
        <f t="shared" si="13"/>
        <v xml:space="preserve"> </v>
      </c>
    </row>
    <row r="852" spans="1:1" x14ac:dyDescent="0.2">
      <c r="A852" t="str">
        <f t="shared" si="13"/>
        <v xml:space="preserve"> </v>
      </c>
    </row>
    <row r="853" spans="1:1" x14ac:dyDescent="0.2">
      <c r="A853" t="str">
        <f t="shared" si="13"/>
        <v xml:space="preserve"> </v>
      </c>
    </row>
    <row r="854" spans="1:1" x14ac:dyDescent="0.2">
      <c r="A854" t="str">
        <f t="shared" si="13"/>
        <v xml:space="preserve"> </v>
      </c>
    </row>
    <row r="855" spans="1:1" x14ac:dyDescent="0.2">
      <c r="A855" t="str">
        <f t="shared" si="13"/>
        <v xml:space="preserve"> </v>
      </c>
    </row>
    <row r="856" spans="1:1" x14ac:dyDescent="0.2">
      <c r="A856" t="str">
        <f t="shared" si="13"/>
        <v xml:space="preserve"> </v>
      </c>
    </row>
    <row r="857" spans="1:1" x14ac:dyDescent="0.2">
      <c r="A857" t="str">
        <f t="shared" si="13"/>
        <v xml:space="preserve"> </v>
      </c>
    </row>
    <row r="858" spans="1:1" x14ac:dyDescent="0.2">
      <c r="A858" t="str">
        <f t="shared" si="13"/>
        <v xml:space="preserve"> </v>
      </c>
    </row>
    <row r="859" spans="1:1" x14ac:dyDescent="0.2">
      <c r="A859" t="str">
        <f t="shared" si="13"/>
        <v xml:space="preserve"> </v>
      </c>
    </row>
    <row r="860" spans="1:1" x14ac:dyDescent="0.2">
      <c r="A860" t="str">
        <f t="shared" si="13"/>
        <v xml:space="preserve"> </v>
      </c>
    </row>
    <row r="861" spans="1:1" x14ac:dyDescent="0.2">
      <c r="A861" t="str">
        <f t="shared" si="13"/>
        <v xml:space="preserve"> </v>
      </c>
    </row>
    <row r="862" spans="1:1" x14ac:dyDescent="0.2">
      <c r="A862" t="str">
        <f t="shared" si="13"/>
        <v xml:space="preserve"> </v>
      </c>
    </row>
    <row r="863" spans="1:1" x14ac:dyDescent="0.2">
      <c r="A863" t="str">
        <f t="shared" si="13"/>
        <v xml:space="preserve"> </v>
      </c>
    </row>
    <row r="864" spans="1:1" x14ac:dyDescent="0.2">
      <c r="A864" t="str">
        <f t="shared" si="13"/>
        <v xml:space="preserve"> </v>
      </c>
    </row>
    <row r="865" spans="1:1" x14ac:dyDescent="0.2">
      <c r="A865" t="str">
        <f t="shared" si="13"/>
        <v xml:space="preserve"> </v>
      </c>
    </row>
    <row r="866" spans="1:1" x14ac:dyDescent="0.2">
      <c r="A866" t="str">
        <f t="shared" si="13"/>
        <v xml:space="preserve"> </v>
      </c>
    </row>
    <row r="867" spans="1:1" x14ac:dyDescent="0.2">
      <c r="A867" t="str">
        <f t="shared" si="13"/>
        <v xml:space="preserve"> </v>
      </c>
    </row>
    <row r="868" spans="1:1" x14ac:dyDescent="0.2">
      <c r="A868" t="str">
        <f t="shared" si="13"/>
        <v xml:space="preserve"> </v>
      </c>
    </row>
    <row r="869" spans="1:1" x14ac:dyDescent="0.2">
      <c r="A869" t="str">
        <f t="shared" si="13"/>
        <v xml:space="preserve"> </v>
      </c>
    </row>
    <row r="870" spans="1:1" x14ac:dyDescent="0.2">
      <c r="A870" t="str">
        <f t="shared" si="13"/>
        <v xml:space="preserve"> </v>
      </c>
    </row>
    <row r="871" spans="1:1" x14ac:dyDescent="0.2">
      <c r="A871" t="str">
        <f t="shared" si="13"/>
        <v xml:space="preserve"> </v>
      </c>
    </row>
    <row r="872" spans="1:1" x14ac:dyDescent="0.2">
      <c r="A872" t="str">
        <f t="shared" si="13"/>
        <v xml:space="preserve"> </v>
      </c>
    </row>
    <row r="873" spans="1:1" x14ac:dyDescent="0.2">
      <c r="A873" t="str">
        <f t="shared" si="13"/>
        <v xml:space="preserve"> </v>
      </c>
    </row>
    <row r="874" spans="1:1" x14ac:dyDescent="0.2">
      <c r="A874" t="str">
        <f t="shared" si="13"/>
        <v xml:space="preserve"> </v>
      </c>
    </row>
    <row r="875" spans="1:1" x14ac:dyDescent="0.2">
      <c r="A875" t="str">
        <f t="shared" si="13"/>
        <v xml:space="preserve"> </v>
      </c>
    </row>
    <row r="876" spans="1:1" x14ac:dyDescent="0.2">
      <c r="A876" t="str">
        <f t="shared" si="13"/>
        <v xml:space="preserve"> </v>
      </c>
    </row>
    <row r="877" spans="1:1" x14ac:dyDescent="0.2">
      <c r="A877" t="str">
        <f t="shared" si="13"/>
        <v xml:space="preserve"> </v>
      </c>
    </row>
    <row r="878" spans="1:1" x14ac:dyDescent="0.2">
      <c r="A878" t="str">
        <f t="shared" si="13"/>
        <v xml:space="preserve"> </v>
      </c>
    </row>
    <row r="879" spans="1:1" x14ac:dyDescent="0.2">
      <c r="A879" t="str">
        <f t="shared" si="13"/>
        <v xml:space="preserve"> </v>
      </c>
    </row>
    <row r="880" spans="1:1" x14ac:dyDescent="0.2">
      <c r="A880" t="str">
        <f t="shared" si="13"/>
        <v xml:space="preserve"> </v>
      </c>
    </row>
    <row r="881" spans="1:1" x14ac:dyDescent="0.2">
      <c r="A881" t="str">
        <f t="shared" si="13"/>
        <v xml:space="preserve"> </v>
      </c>
    </row>
    <row r="882" spans="1:1" x14ac:dyDescent="0.2">
      <c r="A882" t="str">
        <f t="shared" si="13"/>
        <v xml:space="preserve"> </v>
      </c>
    </row>
    <row r="883" spans="1:1" x14ac:dyDescent="0.2">
      <c r="A883" t="str">
        <f t="shared" si="13"/>
        <v xml:space="preserve"> </v>
      </c>
    </row>
    <row r="884" spans="1:1" x14ac:dyDescent="0.2">
      <c r="A884" t="str">
        <f t="shared" si="13"/>
        <v xml:space="preserve"> </v>
      </c>
    </row>
    <row r="885" spans="1:1" x14ac:dyDescent="0.2">
      <c r="A885" t="str">
        <f t="shared" si="13"/>
        <v xml:space="preserve"> </v>
      </c>
    </row>
    <row r="886" spans="1:1" x14ac:dyDescent="0.2">
      <c r="A886" t="str">
        <f t="shared" si="13"/>
        <v xml:space="preserve"> </v>
      </c>
    </row>
    <row r="887" spans="1:1" x14ac:dyDescent="0.2">
      <c r="A887" t="str">
        <f t="shared" si="13"/>
        <v xml:space="preserve"> </v>
      </c>
    </row>
    <row r="888" spans="1:1" x14ac:dyDescent="0.2">
      <c r="A888" t="str">
        <f t="shared" si="13"/>
        <v xml:space="preserve"> </v>
      </c>
    </row>
    <row r="889" spans="1:1" x14ac:dyDescent="0.2">
      <c r="A889" t="str">
        <f t="shared" si="13"/>
        <v xml:space="preserve"> </v>
      </c>
    </row>
    <row r="890" spans="1:1" x14ac:dyDescent="0.2">
      <c r="A890" t="str">
        <f t="shared" si="13"/>
        <v xml:space="preserve"> </v>
      </c>
    </row>
    <row r="891" spans="1:1" x14ac:dyDescent="0.2">
      <c r="A891" t="str">
        <f t="shared" si="13"/>
        <v xml:space="preserve"> </v>
      </c>
    </row>
    <row r="892" spans="1:1" x14ac:dyDescent="0.2">
      <c r="A892" t="str">
        <f t="shared" si="13"/>
        <v xml:space="preserve"> </v>
      </c>
    </row>
    <row r="893" spans="1:1" x14ac:dyDescent="0.2">
      <c r="A893" t="str">
        <f t="shared" si="13"/>
        <v xml:space="preserve"> </v>
      </c>
    </row>
    <row r="894" spans="1:1" x14ac:dyDescent="0.2">
      <c r="A894" t="str">
        <f t="shared" si="13"/>
        <v xml:space="preserve"> </v>
      </c>
    </row>
    <row r="895" spans="1:1" x14ac:dyDescent="0.2">
      <c r="A895" t="str">
        <f t="shared" si="13"/>
        <v xml:space="preserve"> </v>
      </c>
    </row>
    <row r="896" spans="1:1" x14ac:dyDescent="0.2">
      <c r="A896" t="str">
        <f t="shared" si="13"/>
        <v xml:space="preserve"> </v>
      </c>
    </row>
    <row r="897" spans="1:1" x14ac:dyDescent="0.2">
      <c r="A897" t="str">
        <f t="shared" si="13"/>
        <v xml:space="preserve"> </v>
      </c>
    </row>
    <row r="898" spans="1:1" x14ac:dyDescent="0.2">
      <c r="A898" t="str">
        <f t="shared" si="13"/>
        <v xml:space="preserve"> </v>
      </c>
    </row>
    <row r="899" spans="1:1" x14ac:dyDescent="0.2">
      <c r="A899" t="str">
        <f t="shared" ref="A899:A962" si="14">CONCATENATE(B899," ",E899)</f>
        <v xml:space="preserve"> </v>
      </c>
    </row>
    <row r="900" spans="1:1" x14ac:dyDescent="0.2">
      <c r="A900" t="str">
        <f t="shared" si="14"/>
        <v xml:space="preserve"> </v>
      </c>
    </row>
    <row r="901" spans="1:1" x14ac:dyDescent="0.2">
      <c r="A901" t="str">
        <f t="shared" si="14"/>
        <v xml:space="preserve"> </v>
      </c>
    </row>
    <row r="902" spans="1:1" x14ac:dyDescent="0.2">
      <c r="A902" t="str">
        <f t="shared" si="14"/>
        <v xml:space="preserve"> </v>
      </c>
    </row>
    <row r="903" spans="1:1" x14ac:dyDescent="0.2">
      <c r="A903" t="str">
        <f t="shared" si="14"/>
        <v xml:space="preserve"> </v>
      </c>
    </row>
    <row r="904" spans="1:1" x14ac:dyDescent="0.2">
      <c r="A904" t="str">
        <f t="shared" si="14"/>
        <v xml:space="preserve"> </v>
      </c>
    </row>
    <row r="905" spans="1:1" x14ac:dyDescent="0.2">
      <c r="A905" t="str">
        <f t="shared" si="14"/>
        <v xml:space="preserve"> </v>
      </c>
    </row>
    <row r="906" spans="1:1" x14ac:dyDescent="0.2">
      <c r="A906" t="str">
        <f t="shared" si="14"/>
        <v xml:space="preserve"> </v>
      </c>
    </row>
    <row r="907" spans="1:1" x14ac:dyDescent="0.2">
      <c r="A907" t="str">
        <f t="shared" si="14"/>
        <v xml:space="preserve"> </v>
      </c>
    </row>
    <row r="908" spans="1:1" x14ac:dyDescent="0.2">
      <c r="A908" t="str">
        <f t="shared" si="14"/>
        <v xml:space="preserve"> </v>
      </c>
    </row>
    <row r="909" spans="1:1" x14ac:dyDescent="0.2">
      <c r="A909" t="str">
        <f t="shared" si="14"/>
        <v xml:space="preserve"> </v>
      </c>
    </row>
    <row r="910" spans="1:1" x14ac:dyDescent="0.2">
      <c r="A910" t="str">
        <f t="shared" si="14"/>
        <v xml:space="preserve"> </v>
      </c>
    </row>
    <row r="911" spans="1:1" x14ac:dyDescent="0.2">
      <c r="A911" t="str">
        <f t="shared" si="14"/>
        <v xml:space="preserve"> </v>
      </c>
    </row>
    <row r="912" spans="1:1" x14ac:dyDescent="0.2">
      <c r="A912" t="str">
        <f t="shared" si="14"/>
        <v xml:space="preserve"> </v>
      </c>
    </row>
    <row r="913" spans="1:1" x14ac:dyDescent="0.2">
      <c r="A913" t="str">
        <f t="shared" si="14"/>
        <v xml:space="preserve"> </v>
      </c>
    </row>
    <row r="914" spans="1:1" x14ac:dyDescent="0.2">
      <c r="A914" t="str">
        <f t="shared" si="14"/>
        <v xml:space="preserve"> </v>
      </c>
    </row>
    <row r="915" spans="1:1" x14ac:dyDescent="0.2">
      <c r="A915" t="str">
        <f t="shared" si="14"/>
        <v xml:space="preserve"> </v>
      </c>
    </row>
    <row r="916" spans="1:1" x14ac:dyDescent="0.2">
      <c r="A916" t="str">
        <f t="shared" si="14"/>
        <v xml:space="preserve"> </v>
      </c>
    </row>
    <row r="917" spans="1:1" x14ac:dyDescent="0.2">
      <c r="A917" t="str">
        <f t="shared" si="14"/>
        <v xml:space="preserve"> </v>
      </c>
    </row>
    <row r="918" spans="1:1" x14ac:dyDescent="0.2">
      <c r="A918" t="str">
        <f t="shared" si="14"/>
        <v xml:space="preserve"> </v>
      </c>
    </row>
    <row r="919" spans="1:1" x14ac:dyDescent="0.2">
      <c r="A919" t="str">
        <f t="shared" si="14"/>
        <v xml:space="preserve"> </v>
      </c>
    </row>
    <row r="920" spans="1:1" x14ac:dyDescent="0.2">
      <c r="A920" t="str">
        <f t="shared" si="14"/>
        <v xml:space="preserve"> </v>
      </c>
    </row>
    <row r="921" spans="1:1" x14ac:dyDescent="0.2">
      <c r="A921" t="str">
        <f t="shared" si="14"/>
        <v xml:space="preserve"> </v>
      </c>
    </row>
    <row r="922" spans="1:1" x14ac:dyDescent="0.2">
      <c r="A922" t="str">
        <f t="shared" si="14"/>
        <v xml:space="preserve"> </v>
      </c>
    </row>
    <row r="923" spans="1:1" x14ac:dyDescent="0.2">
      <c r="A923" t="str">
        <f t="shared" si="14"/>
        <v xml:space="preserve"> </v>
      </c>
    </row>
    <row r="924" spans="1:1" x14ac:dyDescent="0.2">
      <c r="A924" t="str">
        <f t="shared" si="14"/>
        <v xml:space="preserve"> </v>
      </c>
    </row>
    <row r="925" spans="1:1" x14ac:dyDescent="0.2">
      <c r="A925" t="str">
        <f t="shared" si="14"/>
        <v xml:space="preserve"> </v>
      </c>
    </row>
    <row r="926" spans="1:1" x14ac:dyDescent="0.2">
      <c r="A926" t="str">
        <f t="shared" si="14"/>
        <v xml:space="preserve"> </v>
      </c>
    </row>
    <row r="927" spans="1:1" x14ac:dyDescent="0.2">
      <c r="A927" t="str">
        <f t="shared" si="14"/>
        <v xml:space="preserve"> </v>
      </c>
    </row>
    <row r="928" spans="1:1" x14ac:dyDescent="0.2">
      <c r="A928" t="str">
        <f t="shared" si="14"/>
        <v xml:space="preserve"> </v>
      </c>
    </row>
    <row r="929" spans="1:1" x14ac:dyDescent="0.2">
      <c r="A929" t="str">
        <f t="shared" si="14"/>
        <v xml:space="preserve"> </v>
      </c>
    </row>
    <row r="930" spans="1:1" x14ac:dyDescent="0.2">
      <c r="A930" t="str">
        <f t="shared" si="14"/>
        <v xml:space="preserve"> </v>
      </c>
    </row>
    <row r="931" spans="1:1" x14ac:dyDescent="0.2">
      <c r="A931" t="str">
        <f t="shared" si="14"/>
        <v xml:space="preserve"> </v>
      </c>
    </row>
    <row r="932" spans="1:1" x14ac:dyDescent="0.2">
      <c r="A932" t="str">
        <f t="shared" si="14"/>
        <v xml:space="preserve"> </v>
      </c>
    </row>
    <row r="933" spans="1:1" x14ac:dyDescent="0.2">
      <c r="A933" t="str">
        <f t="shared" si="14"/>
        <v xml:space="preserve"> </v>
      </c>
    </row>
    <row r="934" spans="1:1" x14ac:dyDescent="0.2">
      <c r="A934" t="str">
        <f t="shared" si="14"/>
        <v xml:space="preserve"> </v>
      </c>
    </row>
    <row r="935" spans="1:1" x14ac:dyDescent="0.2">
      <c r="A935" t="str">
        <f t="shared" si="14"/>
        <v xml:space="preserve"> </v>
      </c>
    </row>
    <row r="936" spans="1:1" x14ac:dyDescent="0.2">
      <c r="A936" t="str">
        <f t="shared" si="14"/>
        <v xml:space="preserve"> </v>
      </c>
    </row>
    <row r="937" spans="1:1" x14ac:dyDescent="0.2">
      <c r="A937" t="str">
        <f t="shared" si="14"/>
        <v xml:space="preserve"> </v>
      </c>
    </row>
    <row r="938" spans="1:1" x14ac:dyDescent="0.2">
      <c r="A938" t="str">
        <f t="shared" si="14"/>
        <v xml:space="preserve"> </v>
      </c>
    </row>
    <row r="939" spans="1:1" x14ac:dyDescent="0.2">
      <c r="A939" t="str">
        <f t="shared" si="14"/>
        <v xml:space="preserve"> </v>
      </c>
    </row>
    <row r="940" spans="1:1" x14ac:dyDescent="0.2">
      <c r="A940" t="str">
        <f t="shared" si="14"/>
        <v xml:space="preserve"> </v>
      </c>
    </row>
    <row r="941" spans="1:1" x14ac:dyDescent="0.2">
      <c r="A941" t="str">
        <f t="shared" si="14"/>
        <v xml:space="preserve"> </v>
      </c>
    </row>
    <row r="942" spans="1:1" x14ac:dyDescent="0.2">
      <c r="A942" t="str">
        <f t="shared" si="14"/>
        <v xml:space="preserve"> </v>
      </c>
    </row>
    <row r="943" spans="1:1" x14ac:dyDescent="0.2">
      <c r="A943" t="str">
        <f t="shared" si="14"/>
        <v xml:space="preserve"> </v>
      </c>
    </row>
    <row r="944" spans="1:1" x14ac:dyDescent="0.2">
      <c r="A944" t="str">
        <f t="shared" si="14"/>
        <v xml:space="preserve"> </v>
      </c>
    </row>
    <row r="945" spans="1:1" x14ac:dyDescent="0.2">
      <c r="A945" t="str">
        <f t="shared" si="14"/>
        <v xml:space="preserve"> </v>
      </c>
    </row>
    <row r="946" spans="1:1" x14ac:dyDescent="0.2">
      <c r="A946" t="str">
        <f t="shared" si="14"/>
        <v xml:space="preserve"> </v>
      </c>
    </row>
    <row r="947" spans="1:1" x14ac:dyDescent="0.2">
      <c r="A947" t="str">
        <f t="shared" si="14"/>
        <v xml:space="preserve"> </v>
      </c>
    </row>
    <row r="948" spans="1:1" x14ac:dyDescent="0.2">
      <c r="A948" t="str">
        <f t="shared" si="14"/>
        <v xml:space="preserve"> </v>
      </c>
    </row>
    <row r="949" spans="1:1" x14ac:dyDescent="0.2">
      <c r="A949" t="str">
        <f t="shared" si="14"/>
        <v xml:space="preserve"> </v>
      </c>
    </row>
    <row r="950" spans="1:1" x14ac:dyDescent="0.2">
      <c r="A950" t="str">
        <f t="shared" si="14"/>
        <v xml:space="preserve"> </v>
      </c>
    </row>
    <row r="951" spans="1:1" x14ac:dyDescent="0.2">
      <c r="A951" t="str">
        <f t="shared" si="14"/>
        <v xml:space="preserve"> </v>
      </c>
    </row>
    <row r="952" spans="1:1" x14ac:dyDescent="0.2">
      <c r="A952" t="str">
        <f t="shared" si="14"/>
        <v xml:space="preserve"> </v>
      </c>
    </row>
    <row r="953" spans="1:1" x14ac:dyDescent="0.2">
      <c r="A953" t="str">
        <f t="shared" si="14"/>
        <v xml:space="preserve"> </v>
      </c>
    </row>
    <row r="954" spans="1:1" x14ac:dyDescent="0.2">
      <c r="A954" t="str">
        <f t="shared" si="14"/>
        <v xml:space="preserve"> </v>
      </c>
    </row>
    <row r="955" spans="1:1" x14ac:dyDescent="0.2">
      <c r="A955" t="str">
        <f t="shared" si="14"/>
        <v xml:space="preserve"> </v>
      </c>
    </row>
    <row r="956" spans="1:1" x14ac:dyDescent="0.2">
      <c r="A956" t="str">
        <f t="shared" si="14"/>
        <v xml:space="preserve"> </v>
      </c>
    </row>
    <row r="957" spans="1:1" x14ac:dyDescent="0.2">
      <c r="A957" t="str">
        <f t="shared" si="14"/>
        <v xml:space="preserve"> </v>
      </c>
    </row>
    <row r="958" spans="1:1" x14ac:dyDescent="0.2">
      <c r="A958" t="str">
        <f t="shared" si="14"/>
        <v xml:space="preserve"> </v>
      </c>
    </row>
    <row r="959" spans="1:1" x14ac:dyDescent="0.2">
      <c r="A959" t="str">
        <f t="shared" si="14"/>
        <v xml:space="preserve"> </v>
      </c>
    </row>
    <row r="960" spans="1:1" x14ac:dyDescent="0.2">
      <c r="A960" t="str">
        <f t="shared" si="14"/>
        <v xml:space="preserve"> </v>
      </c>
    </row>
    <row r="961" spans="1:1" x14ac:dyDescent="0.2">
      <c r="A961" t="str">
        <f t="shared" si="14"/>
        <v xml:space="preserve"> </v>
      </c>
    </row>
    <row r="962" spans="1:1" x14ac:dyDescent="0.2">
      <c r="A962" t="str">
        <f t="shared" si="14"/>
        <v xml:space="preserve"> </v>
      </c>
    </row>
    <row r="963" spans="1:1" x14ac:dyDescent="0.2">
      <c r="A963" t="str">
        <f t="shared" ref="A963:A1000" si="15">CONCATENATE(B963," ",E963)</f>
        <v xml:space="preserve"> </v>
      </c>
    </row>
    <row r="964" spans="1:1" x14ac:dyDescent="0.2">
      <c r="A964" t="str">
        <f t="shared" si="15"/>
        <v xml:space="preserve"> </v>
      </c>
    </row>
    <row r="965" spans="1:1" x14ac:dyDescent="0.2">
      <c r="A965" t="str">
        <f t="shared" si="15"/>
        <v xml:space="preserve"> </v>
      </c>
    </row>
    <row r="966" spans="1:1" x14ac:dyDescent="0.2">
      <c r="A966" t="str">
        <f t="shared" si="15"/>
        <v xml:space="preserve"> </v>
      </c>
    </row>
    <row r="967" spans="1:1" x14ac:dyDescent="0.2">
      <c r="A967" t="str">
        <f t="shared" si="15"/>
        <v xml:space="preserve"> </v>
      </c>
    </row>
    <row r="968" spans="1:1" x14ac:dyDescent="0.2">
      <c r="A968" t="str">
        <f t="shared" si="15"/>
        <v xml:space="preserve"> </v>
      </c>
    </row>
    <row r="969" spans="1:1" x14ac:dyDescent="0.2">
      <c r="A969" t="str">
        <f t="shared" si="15"/>
        <v xml:space="preserve"> </v>
      </c>
    </row>
    <row r="970" spans="1:1" x14ac:dyDescent="0.2">
      <c r="A970" t="str">
        <f t="shared" si="15"/>
        <v xml:space="preserve"> </v>
      </c>
    </row>
    <row r="971" spans="1:1" x14ac:dyDescent="0.2">
      <c r="A971" t="str">
        <f t="shared" si="15"/>
        <v xml:space="preserve"> </v>
      </c>
    </row>
    <row r="972" spans="1:1" x14ac:dyDescent="0.2">
      <c r="A972" t="str">
        <f t="shared" si="15"/>
        <v xml:space="preserve"> </v>
      </c>
    </row>
    <row r="973" spans="1:1" x14ac:dyDescent="0.2">
      <c r="A973" t="str">
        <f t="shared" si="15"/>
        <v xml:space="preserve"> </v>
      </c>
    </row>
    <row r="974" spans="1:1" x14ac:dyDescent="0.2">
      <c r="A974" t="str">
        <f t="shared" si="15"/>
        <v xml:space="preserve"> </v>
      </c>
    </row>
    <row r="975" spans="1:1" x14ac:dyDescent="0.2">
      <c r="A975" t="str">
        <f t="shared" si="15"/>
        <v xml:space="preserve"> </v>
      </c>
    </row>
    <row r="976" spans="1:1" x14ac:dyDescent="0.2">
      <c r="A976" t="str">
        <f t="shared" si="15"/>
        <v xml:space="preserve"> </v>
      </c>
    </row>
    <row r="977" spans="1:1" x14ac:dyDescent="0.2">
      <c r="A977" t="str">
        <f t="shared" si="15"/>
        <v xml:space="preserve"> </v>
      </c>
    </row>
    <row r="978" spans="1:1" x14ac:dyDescent="0.2">
      <c r="A978" t="str">
        <f t="shared" si="15"/>
        <v xml:space="preserve"> </v>
      </c>
    </row>
    <row r="979" spans="1:1" x14ac:dyDescent="0.2">
      <c r="A979" t="str">
        <f t="shared" si="15"/>
        <v xml:space="preserve"> </v>
      </c>
    </row>
    <row r="980" spans="1:1" x14ac:dyDescent="0.2">
      <c r="A980" t="str">
        <f t="shared" si="15"/>
        <v xml:space="preserve"> </v>
      </c>
    </row>
    <row r="981" spans="1:1" x14ac:dyDescent="0.2">
      <c r="A981" t="str">
        <f t="shared" si="15"/>
        <v xml:space="preserve"> </v>
      </c>
    </row>
    <row r="982" spans="1:1" x14ac:dyDescent="0.2">
      <c r="A982" t="str">
        <f t="shared" si="15"/>
        <v xml:space="preserve"> </v>
      </c>
    </row>
    <row r="983" spans="1:1" x14ac:dyDescent="0.2">
      <c r="A983" t="str">
        <f t="shared" si="15"/>
        <v xml:space="preserve"> </v>
      </c>
    </row>
    <row r="984" spans="1:1" x14ac:dyDescent="0.2">
      <c r="A984" t="str">
        <f t="shared" si="15"/>
        <v xml:space="preserve"> </v>
      </c>
    </row>
    <row r="985" spans="1:1" x14ac:dyDescent="0.2">
      <c r="A985" t="str">
        <f t="shared" si="15"/>
        <v xml:space="preserve"> </v>
      </c>
    </row>
    <row r="986" spans="1:1" x14ac:dyDescent="0.2">
      <c r="A986" t="str">
        <f t="shared" si="15"/>
        <v xml:space="preserve"> </v>
      </c>
    </row>
    <row r="987" spans="1:1" x14ac:dyDescent="0.2">
      <c r="A987" t="str">
        <f t="shared" si="15"/>
        <v xml:space="preserve"> </v>
      </c>
    </row>
    <row r="988" spans="1:1" x14ac:dyDescent="0.2">
      <c r="A988" t="str">
        <f t="shared" si="15"/>
        <v xml:space="preserve"> </v>
      </c>
    </row>
    <row r="989" spans="1:1" x14ac:dyDescent="0.2">
      <c r="A989" t="str">
        <f t="shared" si="15"/>
        <v xml:space="preserve"> </v>
      </c>
    </row>
    <row r="990" spans="1:1" x14ac:dyDescent="0.2">
      <c r="A990" t="str">
        <f t="shared" si="15"/>
        <v xml:space="preserve"> </v>
      </c>
    </row>
    <row r="991" spans="1:1" x14ac:dyDescent="0.2">
      <c r="A991" t="str">
        <f t="shared" si="15"/>
        <v xml:space="preserve"> </v>
      </c>
    </row>
    <row r="992" spans="1:1" x14ac:dyDescent="0.2">
      <c r="A992" t="str">
        <f t="shared" si="15"/>
        <v xml:space="preserve"> </v>
      </c>
    </row>
    <row r="993" spans="1:1" x14ac:dyDescent="0.2">
      <c r="A993" t="str">
        <f t="shared" si="15"/>
        <v xml:space="preserve"> </v>
      </c>
    </row>
    <row r="994" spans="1:1" x14ac:dyDescent="0.2">
      <c r="A994" t="str">
        <f t="shared" si="15"/>
        <v xml:space="preserve"> </v>
      </c>
    </row>
    <row r="995" spans="1:1" x14ac:dyDescent="0.2">
      <c r="A995" t="str">
        <f t="shared" si="15"/>
        <v xml:space="preserve"> </v>
      </c>
    </row>
    <row r="996" spans="1:1" x14ac:dyDescent="0.2">
      <c r="A996" t="str">
        <f t="shared" si="15"/>
        <v xml:space="preserve"> </v>
      </c>
    </row>
    <row r="997" spans="1:1" x14ac:dyDescent="0.2">
      <c r="A997" t="str">
        <f t="shared" si="15"/>
        <v xml:space="preserve"> </v>
      </c>
    </row>
    <row r="998" spans="1:1" x14ac:dyDescent="0.2">
      <c r="A998" t="str">
        <f t="shared" si="15"/>
        <v xml:space="preserve"> </v>
      </c>
    </row>
    <row r="999" spans="1:1" x14ac:dyDescent="0.2">
      <c r="A999" t="str">
        <f t="shared" si="15"/>
        <v xml:space="preserve"> </v>
      </c>
    </row>
    <row r="1000" spans="1:1" x14ac:dyDescent="0.2">
      <c r="A1000" t="str">
        <f t="shared" si="15"/>
        <v xml:space="preserve"> 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10"/>
  <dimension ref="A1:K19"/>
  <sheetViews>
    <sheetView workbookViewId="0">
      <selection activeCell="A2" sqref="A2"/>
    </sheetView>
  </sheetViews>
  <sheetFormatPr baseColWidth="10" defaultColWidth="8.85546875" defaultRowHeight="12.75" x14ac:dyDescent="0.2"/>
  <cols>
    <col min="1" max="1" width="9" bestFit="1" customWidth="1"/>
    <col min="2" max="2" width="16.28515625" bestFit="1" customWidth="1"/>
    <col min="3" max="3" width="23.140625" bestFit="1" customWidth="1"/>
  </cols>
  <sheetData>
    <row r="1" spans="1:11" x14ac:dyDescent="0.2">
      <c r="A1" s="39" t="s">
        <v>213</v>
      </c>
      <c r="B1" s="39" t="s">
        <v>72</v>
      </c>
      <c r="C1" s="39" t="s">
        <v>65</v>
      </c>
      <c r="D1" s="41">
        <f>MATCH(C1,Data_Van_LIS_13C!$1:$1,0)</f>
        <v>6</v>
      </c>
      <c r="G1" t="b">
        <v>0</v>
      </c>
      <c r="H1" s="52" t="str">
        <f>IF(G1=TRUE,VAST13C!A38,"")</f>
        <v/>
      </c>
      <c r="I1" s="53"/>
      <c r="J1" s="53"/>
      <c r="K1">
        <f>IF(G1=FALSE,0,1)</f>
        <v>0</v>
      </c>
    </row>
    <row r="2" spans="1:11" x14ac:dyDescent="0.2">
      <c r="A2">
        <v>60660775</v>
      </c>
      <c r="B2" t="str">
        <f>VAST13C!$B$4&amp;" 0 min"</f>
        <v xml:space="preserve"> 0 min</v>
      </c>
      <c r="C2" s="39" t="s">
        <v>66</v>
      </c>
      <c r="D2" s="41">
        <f>MATCH(C2,Data_Van_LIS_13C!$1:$1,0)</f>
        <v>7</v>
      </c>
      <c r="G2" t="b">
        <v>0</v>
      </c>
      <c r="H2" s="52" t="str">
        <f>IF(G2=TRUE,VAST13C!A39,"")</f>
        <v/>
      </c>
      <c r="I2" s="53"/>
      <c r="J2" s="53"/>
      <c r="K2">
        <f t="shared" ref="K2:K3" si="0">IF(G2=FALSE,0,1)</f>
        <v>0</v>
      </c>
    </row>
    <row r="3" spans="1:11" x14ac:dyDescent="0.2">
      <c r="A3">
        <v>66107266</v>
      </c>
      <c r="B3" s="42" t="str">
        <f>VAST13C!$B$4&amp;" 00 min"</f>
        <v xml:space="preserve"> 00 min</v>
      </c>
      <c r="C3" s="39" t="s">
        <v>205</v>
      </c>
      <c r="D3" s="41">
        <f>MATCH(C3,Data_Van_LIS_13C!$1:$1,0)</f>
        <v>4</v>
      </c>
      <c r="G3" t="b">
        <v>0</v>
      </c>
      <c r="H3" s="52" t="str">
        <f>IF(G3=TRUE,VAST13C!A40,"")</f>
        <v/>
      </c>
      <c r="I3" s="53"/>
      <c r="J3" s="53"/>
      <c r="K3">
        <f t="shared" si="0"/>
        <v>0</v>
      </c>
    </row>
    <row r="4" spans="1:11" x14ac:dyDescent="0.2">
      <c r="A4">
        <v>63746598</v>
      </c>
      <c r="B4" t="str">
        <f>VAST13C!$B$4&amp;" 15 min"</f>
        <v xml:space="preserve"> 15 min</v>
      </c>
      <c r="C4" s="39" t="s">
        <v>68</v>
      </c>
      <c r="D4" s="41">
        <f>MATCH(C4,Data_Van_LIS_13C!$1:$1,0)</f>
        <v>9</v>
      </c>
      <c r="K4">
        <f>SUM(K1:K3)</f>
        <v>0</v>
      </c>
    </row>
    <row r="5" spans="1:11" x14ac:dyDescent="0.2">
      <c r="A5">
        <v>73713489</v>
      </c>
      <c r="B5" t="str">
        <f>VAST13C!$B$4&amp;" 30 min"</f>
        <v xml:space="preserve"> 30 min</v>
      </c>
      <c r="C5" s="39" t="s">
        <v>69</v>
      </c>
      <c r="D5" s="41">
        <f>MATCH(C5,Data_Van_LIS_13C!$1:$1,0)</f>
        <v>10</v>
      </c>
    </row>
    <row r="6" spans="1:11" x14ac:dyDescent="0.2">
      <c r="A6">
        <v>62128731</v>
      </c>
      <c r="B6" t="str">
        <f>VAST13C!$B$4&amp;" 45 min"</f>
        <v xml:space="preserve"> 45 min</v>
      </c>
      <c r="C6" s="39" t="s">
        <v>70</v>
      </c>
      <c r="D6" s="41">
        <f>MATCH(C6,Data_Van_LIS_13C!$1:$1,0)</f>
        <v>11</v>
      </c>
    </row>
    <row r="7" spans="1:11" x14ac:dyDescent="0.2">
      <c r="A7">
        <v>69506285</v>
      </c>
      <c r="B7" t="str">
        <f>VAST13C!$B$4&amp;" 60 min"</f>
        <v xml:space="preserve"> 60 min</v>
      </c>
      <c r="C7" s="39" t="s">
        <v>71</v>
      </c>
      <c r="D7" s="41">
        <f>MATCH(C7,Data_Van_LIS_13C!$1:$1,0)</f>
        <v>12</v>
      </c>
    </row>
    <row r="8" spans="1:11" x14ac:dyDescent="0.2">
      <c r="A8">
        <v>64214008</v>
      </c>
      <c r="B8" t="str">
        <f>VAST13C!$B$4&amp;" 75 min"</f>
        <v xml:space="preserve"> 75 min</v>
      </c>
      <c r="C8" s="39" t="s">
        <v>64</v>
      </c>
      <c r="D8" s="41">
        <f>MATCH(C8,Data_Van_LIS_13C!$1:$1,0)</f>
        <v>3</v>
      </c>
    </row>
    <row r="9" spans="1:11" x14ac:dyDescent="0.2">
      <c r="B9" t="str">
        <f>VAST13C!$B$4&amp;" 90 min"</f>
        <v xml:space="preserve"> 90 min</v>
      </c>
      <c r="C9" s="39" t="s">
        <v>67</v>
      </c>
      <c r="D9" s="41">
        <f>MATCH(C9,Data_Van_LIS_13C!$1:$1,0)</f>
        <v>8</v>
      </c>
    </row>
    <row r="10" spans="1:11" x14ac:dyDescent="0.2">
      <c r="B10" t="str">
        <f>VAST13C!$B$4&amp;" 105 min"</f>
        <v xml:space="preserve"> 105 min</v>
      </c>
      <c r="C10" s="39" t="s">
        <v>91</v>
      </c>
      <c r="D10" s="41">
        <f>MATCH(C10,Data_Van_LIS_13C!$1:$1,0)</f>
        <v>13</v>
      </c>
    </row>
    <row r="11" spans="1:11" x14ac:dyDescent="0.2">
      <c r="B11" t="str">
        <f>VAST13C!$B$4&amp;" 120 min"</f>
        <v xml:space="preserve"> 120 min</v>
      </c>
      <c r="C11" s="39" t="s">
        <v>92</v>
      </c>
      <c r="D11" s="41">
        <f>MATCH(C11,Data_Van_LIS_13C!$1:$1,0)</f>
        <v>14</v>
      </c>
    </row>
    <row r="12" spans="1:11" x14ac:dyDescent="0.2">
      <c r="B12" t="str">
        <f>VAST13C!$B$4&amp;" 135 min"</f>
        <v xml:space="preserve"> 135 min</v>
      </c>
      <c r="C12" s="39" t="s">
        <v>104</v>
      </c>
      <c r="D12" s="41">
        <f>MATCH(C12,Data_Van_LIS_13C!$1:$1,0)</f>
        <v>15</v>
      </c>
    </row>
    <row r="13" spans="1:11" x14ac:dyDescent="0.2">
      <c r="B13" t="str">
        <f>VAST13C!$B$4&amp;" 150 min"</f>
        <v xml:space="preserve"> 150 min</v>
      </c>
    </row>
    <row r="14" spans="1:11" x14ac:dyDescent="0.2">
      <c r="B14" t="str">
        <f>VAST13C!$B$4&amp;" 165 min"</f>
        <v xml:space="preserve"> 165 min</v>
      </c>
    </row>
    <row r="15" spans="1:11" x14ac:dyDescent="0.2">
      <c r="B15" t="str">
        <f>VAST13C!$B$4&amp;" 180 min"</f>
        <v xml:space="preserve"> 180 min</v>
      </c>
    </row>
    <row r="16" spans="1:11" x14ac:dyDescent="0.2">
      <c r="B16" t="str">
        <f>VAST13C!$B$4&amp;" 195 min"</f>
        <v xml:space="preserve"> 195 min</v>
      </c>
    </row>
    <row r="17" spans="2:2" x14ac:dyDescent="0.2">
      <c r="B17" t="str">
        <f>VAST13C!$B$4&amp;" 210 min"</f>
        <v xml:space="preserve"> 210 min</v>
      </c>
    </row>
    <row r="18" spans="2:2" x14ac:dyDescent="0.2">
      <c r="B18" t="str">
        <f>VAST13C!$B$4&amp;" 225 min"</f>
        <v xml:space="preserve"> 225 min</v>
      </c>
    </row>
    <row r="19" spans="2:2" x14ac:dyDescent="0.2">
      <c r="B19" t="str">
        <f>VAST13C!$B$4&amp;" 240 min"</f>
        <v xml:space="preserve"> 240 min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"/>
  <sheetViews>
    <sheetView workbookViewId="0"/>
  </sheetViews>
  <sheetFormatPr baseColWidth="10" defaultColWidth="8.85546875"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3"/>
  <dimension ref="A1:F51"/>
  <sheetViews>
    <sheetView zoomScaleNormal="100" workbookViewId="0">
      <selection activeCell="H7" sqref="H7"/>
    </sheetView>
  </sheetViews>
  <sheetFormatPr baseColWidth="10" defaultColWidth="8.85546875" defaultRowHeight="12.75" x14ac:dyDescent="0.2"/>
  <cols>
    <col min="1" max="1" width="9.140625" customWidth="1"/>
    <col min="2" max="2" width="12.85546875" customWidth="1"/>
    <col min="3" max="3" width="10.7109375" bestFit="1" customWidth="1"/>
    <col min="4" max="4" width="9.140625" customWidth="1"/>
    <col min="5" max="5" width="12.85546875" customWidth="1"/>
    <col min="6" max="6" width="10.7109375" bestFit="1" customWidth="1"/>
  </cols>
  <sheetData>
    <row r="1" spans="1:6" ht="15" x14ac:dyDescent="0.25">
      <c r="A1" s="238" t="s">
        <v>116</v>
      </c>
      <c r="B1" s="238"/>
      <c r="C1" s="239"/>
      <c r="D1" s="240" t="s">
        <v>117</v>
      </c>
      <c r="E1" s="240"/>
      <c r="F1" s="240"/>
    </row>
    <row r="2" spans="1:6" ht="15" x14ac:dyDescent="0.25">
      <c r="A2" s="55" t="s">
        <v>118</v>
      </c>
      <c r="B2" s="55" t="s">
        <v>119</v>
      </c>
      <c r="C2" s="56" t="s">
        <v>119</v>
      </c>
      <c r="D2" s="55" t="s">
        <v>118</v>
      </c>
      <c r="E2" s="55" t="s">
        <v>119</v>
      </c>
      <c r="F2" s="55" t="s">
        <v>119</v>
      </c>
    </row>
    <row r="3" spans="1:6" ht="15" x14ac:dyDescent="0.25">
      <c r="A3" s="57" t="s">
        <v>120</v>
      </c>
      <c r="B3" s="57" t="s">
        <v>121</v>
      </c>
      <c r="C3" s="58" t="s">
        <v>122</v>
      </c>
      <c r="D3" s="57" t="s">
        <v>120</v>
      </c>
      <c r="E3" s="57" t="s">
        <v>121</v>
      </c>
      <c r="F3" s="57" t="s">
        <v>122</v>
      </c>
    </row>
    <row r="4" spans="1:6" ht="15" x14ac:dyDescent="0.25">
      <c r="A4" s="235" t="s">
        <v>123</v>
      </c>
      <c r="B4" s="235"/>
      <c r="C4" s="236"/>
      <c r="D4" s="237" t="s">
        <v>123</v>
      </c>
      <c r="E4" s="237"/>
      <c r="F4" s="237"/>
    </row>
    <row r="5" spans="1:6" x14ac:dyDescent="0.2">
      <c r="A5" s="59">
        <v>3.5</v>
      </c>
      <c r="B5">
        <v>64</v>
      </c>
      <c r="C5" s="60">
        <v>18</v>
      </c>
      <c r="D5" s="59">
        <v>3.5</v>
      </c>
      <c r="E5">
        <v>64</v>
      </c>
      <c r="F5">
        <v>18</v>
      </c>
    </row>
    <row r="6" spans="1:6" x14ac:dyDescent="0.2">
      <c r="A6" s="59">
        <v>4</v>
      </c>
      <c r="B6">
        <v>73</v>
      </c>
      <c r="C6" s="60">
        <v>18</v>
      </c>
      <c r="D6" s="59">
        <v>4</v>
      </c>
      <c r="E6">
        <v>73</v>
      </c>
      <c r="F6">
        <v>18</v>
      </c>
    </row>
    <row r="7" spans="1:6" x14ac:dyDescent="0.2">
      <c r="A7" s="59">
        <v>4.5</v>
      </c>
      <c r="B7">
        <v>80</v>
      </c>
      <c r="C7" s="60">
        <v>18</v>
      </c>
      <c r="D7" s="59">
        <v>4.5</v>
      </c>
      <c r="E7">
        <v>80</v>
      </c>
      <c r="F7">
        <v>18</v>
      </c>
    </row>
    <row r="8" spans="1:6" x14ac:dyDescent="0.2">
      <c r="A8" s="59">
        <v>5</v>
      </c>
      <c r="B8">
        <v>89</v>
      </c>
      <c r="C8" s="60">
        <v>18</v>
      </c>
      <c r="D8" s="59">
        <v>5</v>
      </c>
      <c r="E8">
        <v>89</v>
      </c>
      <c r="F8">
        <v>18</v>
      </c>
    </row>
    <row r="9" spans="1:6" x14ac:dyDescent="0.2">
      <c r="A9" s="59">
        <v>5.5</v>
      </c>
      <c r="B9">
        <v>97</v>
      </c>
      <c r="C9" s="60">
        <v>18</v>
      </c>
      <c r="D9" s="59">
        <v>5.5</v>
      </c>
      <c r="E9">
        <v>97</v>
      </c>
      <c r="F9">
        <v>18</v>
      </c>
    </row>
    <row r="10" spans="1:6" x14ac:dyDescent="0.2">
      <c r="A10" s="59">
        <v>6</v>
      </c>
      <c r="B10">
        <v>106</v>
      </c>
      <c r="C10" s="60">
        <v>18</v>
      </c>
      <c r="D10" s="59">
        <v>6</v>
      </c>
      <c r="E10">
        <v>106</v>
      </c>
      <c r="F10">
        <v>18</v>
      </c>
    </row>
    <row r="11" spans="1:6" x14ac:dyDescent="0.2">
      <c r="A11" s="59">
        <v>6.5</v>
      </c>
      <c r="B11">
        <v>114</v>
      </c>
      <c r="C11" s="60">
        <v>18</v>
      </c>
      <c r="D11" s="59">
        <v>6.5</v>
      </c>
      <c r="E11">
        <v>114</v>
      </c>
      <c r="F11">
        <v>18</v>
      </c>
    </row>
    <row r="12" spans="1:6" x14ac:dyDescent="0.2">
      <c r="A12" s="59">
        <v>7</v>
      </c>
      <c r="B12">
        <v>123</v>
      </c>
      <c r="C12" s="60">
        <v>18</v>
      </c>
      <c r="D12" s="59">
        <v>7</v>
      </c>
      <c r="E12">
        <v>123</v>
      </c>
      <c r="F12">
        <v>18</v>
      </c>
    </row>
    <row r="13" spans="1:6" x14ac:dyDescent="0.2">
      <c r="A13" s="59">
        <v>7.5</v>
      </c>
      <c r="B13">
        <v>131</v>
      </c>
      <c r="C13" s="60">
        <v>17</v>
      </c>
      <c r="D13" s="59">
        <v>7.5</v>
      </c>
      <c r="E13">
        <v>131</v>
      </c>
      <c r="F13">
        <v>17</v>
      </c>
    </row>
    <row r="14" spans="1:6" x14ac:dyDescent="0.2">
      <c r="A14" s="59">
        <v>8</v>
      </c>
      <c r="B14">
        <v>139</v>
      </c>
      <c r="C14" s="60">
        <v>17</v>
      </c>
      <c r="D14" s="59">
        <v>8</v>
      </c>
      <c r="E14">
        <v>139</v>
      </c>
      <c r="F14">
        <v>17</v>
      </c>
    </row>
    <row r="15" spans="1:6" x14ac:dyDescent="0.2">
      <c r="A15" s="59">
        <v>8.5</v>
      </c>
      <c r="B15">
        <v>148</v>
      </c>
      <c r="C15" s="60">
        <v>17</v>
      </c>
      <c r="D15" s="59">
        <v>8.5</v>
      </c>
      <c r="E15">
        <v>148</v>
      </c>
      <c r="F15">
        <v>17</v>
      </c>
    </row>
    <row r="16" spans="1:6" x14ac:dyDescent="0.2">
      <c r="A16" s="59">
        <v>9</v>
      </c>
      <c r="B16">
        <v>156</v>
      </c>
      <c r="C16" s="60">
        <v>17</v>
      </c>
      <c r="D16" s="59">
        <v>9</v>
      </c>
      <c r="E16">
        <v>156</v>
      </c>
      <c r="F16">
        <v>17</v>
      </c>
    </row>
    <row r="17" spans="1:6" x14ac:dyDescent="0.2">
      <c r="A17" s="59">
        <v>9.5</v>
      </c>
      <c r="B17">
        <v>164</v>
      </c>
      <c r="C17" s="60">
        <v>17</v>
      </c>
      <c r="D17" s="59">
        <v>9.5</v>
      </c>
      <c r="E17">
        <v>164</v>
      </c>
      <c r="F17">
        <v>17</v>
      </c>
    </row>
    <row r="18" spans="1:6" x14ac:dyDescent="0.2">
      <c r="A18" s="59">
        <v>10</v>
      </c>
      <c r="B18">
        <v>172</v>
      </c>
      <c r="C18" s="60">
        <v>17</v>
      </c>
      <c r="D18" s="59">
        <v>10</v>
      </c>
      <c r="E18">
        <v>172</v>
      </c>
      <c r="F18">
        <v>17</v>
      </c>
    </row>
    <row r="19" spans="1:6" x14ac:dyDescent="0.2">
      <c r="A19" s="59">
        <v>10.5</v>
      </c>
      <c r="B19">
        <v>181</v>
      </c>
      <c r="C19" s="60">
        <v>17</v>
      </c>
      <c r="D19" s="59">
        <v>10.5</v>
      </c>
      <c r="E19">
        <v>181</v>
      </c>
      <c r="F19">
        <v>17</v>
      </c>
    </row>
    <row r="20" spans="1:6" x14ac:dyDescent="0.2">
      <c r="A20" s="59">
        <v>11</v>
      </c>
      <c r="B20">
        <v>189</v>
      </c>
      <c r="C20" s="60">
        <v>17</v>
      </c>
      <c r="D20" s="59">
        <v>11</v>
      </c>
      <c r="E20">
        <v>189</v>
      </c>
      <c r="F20">
        <v>17</v>
      </c>
    </row>
    <row r="21" spans="1:6" ht="15" x14ac:dyDescent="0.25">
      <c r="A21" s="235" t="s">
        <v>124</v>
      </c>
      <c r="B21" s="235"/>
      <c r="C21" s="236"/>
      <c r="D21" s="237" t="s">
        <v>124</v>
      </c>
      <c r="E21" s="237"/>
      <c r="F21" s="237"/>
    </row>
    <row r="22" spans="1:6" x14ac:dyDescent="0.2">
      <c r="A22" s="59">
        <v>9</v>
      </c>
      <c r="B22">
        <v>169</v>
      </c>
      <c r="C22" s="60">
        <v>19</v>
      </c>
      <c r="D22" s="59">
        <v>9</v>
      </c>
      <c r="E22">
        <v>162</v>
      </c>
      <c r="F22">
        <v>18</v>
      </c>
    </row>
    <row r="23" spans="1:6" x14ac:dyDescent="0.2">
      <c r="A23" s="59">
        <v>9.5</v>
      </c>
      <c r="B23">
        <v>175</v>
      </c>
      <c r="C23" s="60">
        <v>18</v>
      </c>
      <c r="D23" s="59">
        <v>9.5</v>
      </c>
      <c r="E23">
        <v>169</v>
      </c>
      <c r="F23">
        <v>18</v>
      </c>
    </row>
    <row r="24" spans="1:6" x14ac:dyDescent="0.2">
      <c r="A24" s="59">
        <v>10</v>
      </c>
      <c r="B24">
        <v>181</v>
      </c>
      <c r="C24" s="60">
        <v>18</v>
      </c>
      <c r="D24" s="59">
        <v>10</v>
      </c>
      <c r="E24">
        <v>175</v>
      </c>
      <c r="F24">
        <v>17</v>
      </c>
    </row>
    <row r="25" spans="1:6" x14ac:dyDescent="0.2">
      <c r="A25" s="59">
        <v>10.5</v>
      </c>
      <c r="B25">
        <v>187</v>
      </c>
      <c r="C25" s="60">
        <v>18</v>
      </c>
      <c r="D25" s="59">
        <v>10.5</v>
      </c>
      <c r="E25">
        <v>181</v>
      </c>
      <c r="F25">
        <v>17</v>
      </c>
    </row>
    <row r="26" spans="1:6" x14ac:dyDescent="0.2">
      <c r="A26" s="59">
        <v>11</v>
      </c>
      <c r="B26">
        <v>193</v>
      </c>
      <c r="C26" s="60">
        <v>18</v>
      </c>
      <c r="D26" s="59">
        <v>11</v>
      </c>
      <c r="E26">
        <v>187</v>
      </c>
      <c r="F26">
        <v>17</v>
      </c>
    </row>
    <row r="27" spans="1:6" x14ac:dyDescent="0.2">
      <c r="A27" s="59">
        <v>11.5</v>
      </c>
      <c r="B27">
        <v>199</v>
      </c>
      <c r="C27" s="60">
        <v>17</v>
      </c>
      <c r="D27" s="59">
        <v>11.5</v>
      </c>
      <c r="E27">
        <v>193</v>
      </c>
      <c r="F27">
        <v>17</v>
      </c>
    </row>
    <row r="28" spans="1:6" x14ac:dyDescent="0.2">
      <c r="A28" s="59">
        <v>12</v>
      </c>
      <c r="B28">
        <v>205</v>
      </c>
      <c r="C28" s="60">
        <v>17</v>
      </c>
      <c r="D28" s="59">
        <v>12</v>
      </c>
      <c r="E28">
        <v>199</v>
      </c>
      <c r="F28">
        <v>17</v>
      </c>
    </row>
    <row r="29" spans="1:6" x14ac:dyDescent="0.2">
      <c r="A29" s="59">
        <v>12.5</v>
      </c>
      <c r="B29">
        <v>212</v>
      </c>
      <c r="C29" s="60">
        <v>17</v>
      </c>
      <c r="D29" s="59">
        <v>12.5</v>
      </c>
      <c r="E29">
        <v>206</v>
      </c>
      <c r="F29">
        <v>16</v>
      </c>
    </row>
    <row r="30" spans="1:6" x14ac:dyDescent="0.2">
      <c r="A30" s="59">
        <v>13</v>
      </c>
      <c r="B30">
        <v>218</v>
      </c>
      <c r="C30" s="60">
        <v>17</v>
      </c>
      <c r="D30" s="59">
        <v>13</v>
      </c>
      <c r="E30">
        <v>212</v>
      </c>
      <c r="F30">
        <v>16</v>
      </c>
    </row>
    <row r="31" spans="1:6" x14ac:dyDescent="0.2">
      <c r="A31" s="59">
        <v>13.5</v>
      </c>
      <c r="B31">
        <v>224</v>
      </c>
      <c r="C31" s="60">
        <v>17</v>
      </c>
      <c r="D31" s="59">
        <v>13.5</v>
      </c>
      <c r="E31">
        <v>218</v>
      </c>
      <c r="F31">
        <v>16</v>
      </c>
    </row>
    <row r="32" spans="1:6" x14ac:dyDescent="0.2">
      <c r="A32" s="59">
        <v>14</v>
      </c>
      <c r="B32">
        <v>230</v>
      </c>
      <c r="C32" s="60">
        <v>16</v>
      </c>
      <c r="D32" s="59">
        <v>14</v>
      </c>
      <c r="E32">
        <v>225</v>
      </c>
      <c r="F32">
        <v>16</v>
      </c>
    </row>
    <row r="33" spans="1:6" x14ac:dyDescent="0.2">
      <c r="A33" s="59">
        <v>14.5</v>
      </c>
      <c r="B33">
        <v>236</v>
      </c>
      <c r="C33" s="60">
        <v>16</v>
      </c>
      <c r="D33" s="59">
        <v>14.5</v>
      </c>
      <c r="E33">
        <v>231</v>
      </c>
      <c r="F33">
        <v>16</v>
      </c>
    </row>
    <row r="34" spans="1:6" x14ac:dyDescent="0.2">
      <c r="A34" s="59">
        <v>15</v>
      </c>
      <c r="B34">
        <v>242</v>
      </c>
      <c r="C34" s="60">
        <v>16</v>
      </c>
      <c r="D34" s="59">
        <v>15</v>
      </c>
      <c r="E34">
        <v>237</v>
      </c>
      <c r="F34">
        <v>16</v>
      </c>
    </row>
    <row r="35" spans="1:6" x14ac:dyDescent="0.2">
      <c r="A35" s="59">
        <v>15.5</v>
      </c>
      <c r="B35">
        <v>248</v>
      </c>
      <c r="C35" s="60">
        <v>16</v>
      </c>
      <c r="D35" s="59">
        <v>15.5</v>
      </c>
      <c r="E35">
        <v>243</v>
      </c>
      <c r="F35">
        <v>16</v>
      </c>
    </row>
    <row r="36" spans="1:6" x14ac:dyDescent="0.2">
      <c r="A36" s="59">
        <v>16</v>
      </c>
      <c r="B36">
        <v>254</v>
      </c>
      <c r="C36" s="60">
        <v>16</v>
      </c>
      <c r="D36" s="59">
        <v>16</v>
      </c>
      <c r="E36">
        <v>250</v>
      </c>
      <c r="F36">
        <v>16</v>
      </c>
    </row>
    <row r="37" spans="1:6" x14ac:dyDescent="0.2">
      <c r="A37" s="59">
        <v>16.5</v>
      </c>
      <c r="B37">
        <v>261</v>
      </c>
      <c r="C37" s="60">
        <v>16</v>
      </c>
      <c r="D37" s="59">
        <v>16.5</v>
      </c>
      <c r="E37">
        <v>256</v>
      </c>
      <c r="F37">
        <v>16</v>
      </c>
    </row>
    <row r="38" spans="1:6" ht="15" x14ac:dyDescent="0.25">
      <c r="A38" s="235" t="s">
        <v>125</v>
      </c>
      <c r="B38" s="235"/>
      <c r="C38" s="236"/>
      <c r="D38" s="237" t="s">
        <v>125</v>
      </c>
      <c r="E38" s="237"/>
      <c r="F38" s="237"/>
    </row>
    <row r="39" spans="1:6" x14ac:dyDescent="0.2">
      <c r="A39">
        <v>15</v>
      </c>
      <c r="B39">
        <v>274</v>
      </c>
      <c r="C39" s="60">
        <v>18</v>
      </c>
      <c r="D39">
        <v>15</v>
      </c>
      <c r="E39">
        <v>255</v>
      </c>
      <c r="F39">
        <v>17</v>
      </c>
    </row>
    <row r="40" spans="1:6" x14ac:dyDescent="0.2">
      <c r="A40">
        <v>20</v>
      </c>
      <c r="B40">
        <v>304</v>
      </c>
      <c r="C40" s="60">
        <v>15</v>
      </c>
      <c r="D40">
        <v>20</v>
      </c>
      <c r="E40">
        <v>287</v>
      </c>
      <c r="F40">
        <v>14</v>
      </c>
    </row>
    <row r="41" spans="1:6" x14ac:dyDescent="0.2">
      <c r="A41">
        <v>25</v>
      </c>
      <c r="B41">
        <v>334</v>
      </c>
      <c r="C41" s="60">
        <v>13</v>
      </c>
      <c r="D41">
        <v>25</v>
      </c>
      <c r="E41">
        <v>318</v>
      </c>
      <c r="F41">
        <v>13</v>
      </c>
    </row>
    <row r="42" spans="1:6" x14ac:dyDescent="0.2">
      <c r="A42">
        <v>30</v>
      </c>
      <c r="B42">
        <v>364</v>
      </c>
      <c r="C42" s="60">
        <v>12</v>
      </c>
      <c r="D42">
        <v>30</v>
      </c>
      <c r="E42">
        <v>349</v>
      </c>
      <c r="F42">
        <v>12</v>
      </c>
    </row>
    <row r="43" spans="1:6" x14ac:dyDescent="0.2">
      <c r="A43">
        <v>35</v>
      </c>
      <c r="B43">
        <v>393</v>
      </c>
      <c r="C43" s="60">
        <v>11</v>
      </c>
      <c r="D43">
        <v>35</v>
      </c>
      <c r="E43">
        <v>380</v>
      </c>
      <c r="F43">
        <v>11</v>
      </c>
    </row>
    <row r="44" spans="1:6" x14ac:dyDescent="0.2">
      <c r="A44">
        <v>40</v>
      </c>
      <c r="B44">
        <v>423</v>
      </c>
      <c r="C44" s="60">
        <v>11</v>
      </c>
      <c r="D44">
        <v>40</v>
      </c>
      <c r="E44">
        <v>412</v>
      </c>
      <c r="F44">
        <v>10</v>
      </c>
    </row>
    <row r="45" spans="1:6" x14ac:dyDescent="0.2">
      <c r="A45">
        <v>45</v>
      </c>
      <c r="B45">
        <v>453</v>
      </c>
      <c r="C45" s="60">
        <v>10</v>
      </c>
      <c r="D45">
        <v>45</v>
      </c>
      <c r="E45">
        <v>443</v>
      </c>
      <c r="F45">
        <v>10</v>
      </c>
    </row>
    <row r="46" spans="1:6" x14ac:dyDescent="0.2">
      <c r="A46">
        <v>50</v>
      </c>
      <c r="B46">
        <v>483</v>
      </c>
      <c r="C46" s="60">
        <v>10</v>
      </c>
      <c r="D46">
        <v>50</v>
      </c>
      <c r="E46">
        <v>474</v>
      </c>
      <c r="F46">
        <v>9</v>
      </c>
    </row>
    <row r="47" spans="1:6" x14ac:dyDescent="0.2">
      <c r="A47">
        <v>55</v>
      </c>
      <c r="B47">
        <v>513</v>
      </c>
      <c r="C47" s="60">
        <v>9</v>
      </c>
      <c r="D47">
        <v>55</v>
      </c>
      <c r="E47">
        <v>506</v>
      </c>
      <c r="F47">
        <v>9</v>
      </c>
    </row>
    <row r="48" spans="1:6" x14ac:dyDescent="0.2">
      <c r="A48">
        <v>60</v>
      </c>
      <c r="B48">
        <v>543</v>
      </c>
      <c r="C48" s="60">
        <v>9</v>
      </c>
      <c r="D48">
        <v>60</v>
      </c>
      <c r="E48">
        <v>536</v>
      </c>
      <c r="F48">
        <v>9</v>
      </c>
    </row>
    <row r="49" spans="1:6" x14ac:dyDescent="0.2">
      <c r="A49">
        <v>65</v>
      </c>
      <c r="B49">
        <v>573</v>
      </c>
      <c r="C49" s="60">
        <v>9</v>
      </c>
      <c r="D49">
        <v>65</v>
      </c>
      <c r="E49">
        <v>567</v>
      </c>
      <c r="F49">
        <v>9</v>
      </c>
    </row>
    <row r="50" spans="1:6" x14ac:dyDescent="0.2">
      <c r="A50">
        <v>70</v>
      </c>
      <c r="B50">
        <v>602</v>
      </c>
      <c r="C50" s="60">
        <v>9</v>
      </c>
      <c r="D50">
        <v>70</v>
      </c>
      <c r="E50">
        <v>599</v>
      </c>
      <c r="F50">
        <v>9</v>
      </c>
    </row>
    <row r="51" spans="1:6" x14ac:dyDescent="0.2">
      <c r="A51">
        <v>75</v>
      </c>
      <c r="B51">
        <v>632</v>
      </c>
      <c r="C51" s="60">
        <v>8</v>
      </c>
      <c r="D51">
        <v>75</v>
      </c>
      <c r="E51">
        <v>630</v>
      </c>
      <c r="F51">
        <v>8</v>
      </c>
    </row>
  </sheetData>
  <mergeCells count="8">
    <mergeCell ref="A38:C38"/>
    <mergeCell ref="D38:F38"/>
    <mergeCell ref="A1:C1"/>
    <mergeCell ref="D1:F1"/>
    <mergeCell ref="A4:C4"/>
    <mergeCell ref="D4:F4"/>
    <mergeCell ref="A21:C21"/>
    <mergeCell ref="D21:F21"/>
  </mergeCells>
  <pageMargins left="0.7" right="0.7" top="0.75" bottom="0.75" header="0.3" footer="0.3"/>
  <pageSetup paperSize="9" orientation="portrait" r:id="rId1"/>
  <headerFooter>
    <oddHeader>&amp;LSOP-020 PRG-6&amp;Cversion 160201&amp;Rp. &amp;P/&amp;N</oddHeader>
    <oddFooter>&amp;LSystème qualité&amp;CLaboratoire CHC&amp;Rimprimé le 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9"/>
  <dimension ref="A1:N35"/>
  <sheetViews>
    <sheetView zoomScaleNormal="100" workbookViewId="0">
      <selection activeCell="B3" sqref="B3"/>
    </sheetView>
  </sheetViews>
  <sheetFormatPr baseColWidth="10" defaultColWidth="8.85546875" defaultRowHeight="12.75" x14ac:dyDescent="0.2"/>
  <cols>
    <col min="1" max="1" width="20.140625" bestFit="1" customWidth="1"/>
    <col min="2" max="2" width="10.7109375" customWidth="1"/>
    <col min="4" max="4" width="14.7109375" bestFit="1" customWidth="1"/>
  </cols>
  <sheetData>
    <row r="1" spans="1:14" s="36" customFormat="1" x14ac:dyDescent="0.2">
      <c r="A1" s="35" t="s">
        <v>88</v>
      </c>
      <c r="B1" s="35"/>
    </row>
    <row r="2" spans="1:14" s="36" customFormat="1" x14ac:dyDescent="0.2">
      <c r="A2" s="35" t="s">
        <v>206</v>
      </c>
      <c r="B2" s="35" t="s">
        <v>74</v>
      </c>
      <c r="C2" s="35" t="s">
        <v>75</v>
      </c>
      <c r="D2" s="35" t="s">
        <v>76</v>
      </c>
      <c r="E2" s="35" t="s">
        <v>83</v>
      </c>
      <c r="F2" s="35" t="s">
        <v>84</v>
      </c>
      <c r="G2" s="35" t="s">
        <v>85</v>
      </c>
      <c r="H2" s="35" t="s">
        <v>86</v>
      </c>
      <c r="I2" s="35" t="s">
        <v>87</v>
      </c>
      <c r="J2" s="35" t="s">
        <v>80</v>
      </c>
      <c r="K2" s="35" t="s">
        <v>81</v>
      </c>
      <c r="L2" s="35" t="s">
        <v>77</v>
      </c>
      <c r="M2" s="35" t="s">
        <v>78</v>
      </c>
      <c r="N2" s="35" t="s">
        <v>79</v>
      </c>
    </row>
    <row r="3" spans="1:14" x14ac:dyDescent="0.2">
      <c r="A3" t="e">
        <f>IF(MID(VLOOKUP(Patienten_13C!B2,Data_Van_LIS_13C!A:D,Patienten_13C!$D$3,0),1,10)*1&lt;10000000000,CONCATENATE("0",MID(VLOOKUP(Patienten_13C!B2,Data_Van_LIS_13C!A:D,Patienten_13C!$D$3,0),1,9)),MID(VLOOKUP(Patienten_13C!B2,Data_Van_LIS_13C!A:D,Patienten_13C!$D$3,0),1,10))</f>
        <v>#N/A</v>
      </c>
      <c r="B3" s="42" t="e">
        <f>VAST13C!F8</f>
        <v>#VALUE!</v>
      </c>
      <c r="C3" s="42" t="e">
        <f>VAST13C!F12</f>
        <v>#VALUE!</v>
      </c>
      <c r="D3" t="str">
        <f>VAST13C!F4</f>
        <v>[C-13]-octaanzuur</v>
      </c>
      <c r="E3">
        <f>VAST13C!F5</f>
        <v>145</v>
      </c>
      <c r="F3">
        <f>VAST13C!F6</f>
        <v>1</v>
      </c>
      <c r="G3">
        <f>VAST13C!F7</f>
        <v>99</v>
      </c>
      <c r="H3" s="42" t="e">
        <f>VAST13C!J18</f>
        <v>#N/A</v>
      </c>
      <c r="I3" s="42">
        <f>VAST13C!K18</f>
        <v>0</v>
      </c>
      <c r="J3" s="42">
        <f>VAST13C!K7</f>
        <v>3.7737009247521041</v>
      </c>
      <c r="K3" s="43">
        <f>VAST13C!N10</f>
        <v>61.103774650494529</v>
      </c>
      <c r="L3" t="str">
        <f>IF(ISERROR($M$3),"","ja")</f>
        <v/>
      </c>
      <c r="M3" t="e">
        <f>INDEX(Patienten_13C!H1:H3,MATCH(TRUE,Patienten_13C!G1:G3,0),1)</f>
        <v>#N/A</v>
      </c>
      <c r="N3" t="str">
        <f>IF(VAST13C!A42="","",VAST13C!A42)</f>
        <v>Geen.</v>
      </c>
    </row>
    <row r="4" spans="1:14" x14ac:dyDescent="0.2">
      <c r="A4" t="e">
        <f>IF(MID(VLOOKUP(Patienten_13C!B3,Data_Van_LIS_13C!A:D,Patienten_13C!$D$3,0),1,10)*1&lt;10000000000,CONCATENATE("0",MID(VLOOKUP(Patienten_13C!B3,Data_Van_LIS_13C!A:D,Patienten_13C!$D$3,0),1,9)),MID(VLOOKUP(Patienten_13C!B3,Data_Van_LIS_13C!A:D,Patienten_13C!$D$3,0),1,10))</f>
        <v>#N/A</v>
      </c>
      <c r="B4" s="44"/>
      <c r="C4" s="44"/>
      <c r="D4" s="44"/>
      <c r="E4" s="44"/>
      <c r="F4" s="44"/>
      <c r="G4" s="44"/>
      <c r="H4" s="44"/>
      <c r="I4" s="44"/>
      <c r="J4" s="44"/>
      <c r="K4" s="44"/>
      <c r="L4" t="str">
        <f t="shared" ref="L4:L20" si="0">IF(ISERROR($M$3),"","ja")</f>
        <v/>
      </c>
      <c r="M4" s="44"/>
      <c r="N4" s="44"/>
    </row>
    <row r="5" spans="1:14" x14ac:dyDescent="0.2">
      <c r="A5" t="e">
        <f>IF(MID(VLOOKUP(Patienten_13C!B4,Data_Van_LIS_13C!A:D,Patienten_13C!$D$3,0),1,10)*1&lt;10000000000,CONCATENATE("0",MID(VLOOKUP(Patienten_13C!B4,Data_Van_LIS_13C!A:D,Patienten_13C!$D$3,0),1,9)),MID(VLOOKUP(Patienten_13C!B4,Data_Van_LIS_13C!A:D,Patienten_13C!$D$3,0),1,10))</f>
        <v>#N/A</v>
      </c>
      <c r="B5" s="44"/>
      <c r="C5" s="44"/>
      <c r="D5" s="44"/>
      <c r="E5" s="44"/>
      <c r="F5" s="44"/>
      <c r="G5" s="44"/>
      <c r="H5" s="42">
        <f>_xlfn.IFNA(VAST13C!J19,0)</f>
        <v>0</v>
      </c>
      <c r="I5" s="42">
        <f>_xlfn.IFNA(VAST13C!K19,0)</f>
        <v>0</v>
      </c>
      <c r="J5" s="44"/>
      <c r="K5" s="44"/>
      <c r="L5" t="str">
        <f t="shared" si="0"/>
        <v/>
      </c>
      <c r="M5" s="44"/>
      <c r="N5" s="44"/>
    </row>
    <row r="6" spans="1:14" x14ac:dyDescent="0.2">
      <c r="A6" t="e">
        <f>IF(MID(VLOOKUP(Patienten_13C!B5,Data_Van_LIS_13C!A:D,Patienten_13C!$D$3,0),1,10)*1&lt;10000000000,CONCATENATE("0",MID(VLOOKUP(Patienten_13C!B5,Data_Van_LIS_13C!A:D,Patienten_13C!$D$3,0),1,9)),MID(VLOOKUP(Patienten_13C!B5,Data_Van_LIS_13C!A:D,Patienten_13C!$D$3,0),1,10))</f>
        <v>#N/A</v>
      </c>
      <c r="B6" s="44"/>
      <c r="C6" s="44"/>
      <c r="D6" s="44"/>
      <c r="E6" s="44"/>
      <c r="F6" s="44"/>
      <c r="G6" s="44"/>
      <c r="H6" s="42">
        <f>_xlfn.IFNA(VAST13C!J20,0)</f>
        <v>0</v>
      </c>
      <c r="I6" s="42">
        <f>_xlfn.IFNA(VAST13C!K20,0)</f>
        <v>0</v>
      </c>
      <c r="J6" s="44"/>
      <c r="K6" s="44"/>
      <c r="L6" t="str">
        <f t="shared" si="0"/>
        <v/>
      </c>
      <c r="M6" s="44"/>
      <c r="N6" s="44"/>
    </row>
    <row r="7" spans="1:14" x14ac:dyDescent="0.2">
      <c r="A7" t="e">
        <f>IF(MID(VLOOKUP(Patienten_13C!B6,Data_Van_LIS_13C!A:D,Patienten_13C!$D$3,0),1,10)*1&lt;10000000000,CONCATENATE("0",MID(VLOOKUP(Patienten_13C!B6,Data_Van_LIS_13C!A:D,Patienten_13C!$D$3,0),1,9)),MID(VLOOKUP(Patienten_13C!B6,Data_Van_LIS_13C!A:D,Patienten_13C!$D$3,0),1,10))</f>
        <v>#N/A</v>
      </c>
      <c r="B7" s="44"/>
      <c r="C7" s="44"/>
      <c r="D7" s="44"/>
      <c r="E7" s="44"/>
      <c r="F7" s="44"/>
      <c r="G7" s="44"/>
      <c r="H7" s="42">
        <f>_xlfn.IFNA(VAST13C!J21,0)</f>
        <v>0</v>
      </c>
      <c r="I7" s="42">
        <f>_xlfn.IFNA(VAST13C!K21,0)</f>
        <v>0</v>
      </c>
      <c r="J7" s="44"/>
      <c r="K7" s="44"/>
      <c r="L7" t="str">
        <f t="shared" si="0"/>
        <v/>
      </c>
      <c r="M7" s="44"/>
      <c r="N7" s="44"/>
    </row>
    <row r="8" spans="1:14" x14ac:dyDescent="0.2">
      <c r="A8" t="e">
        <f>IF(MID(VLOOKUP(Patienten_13C!B7,Data_Van_LIS_13C!A:D,Patienten_13C!$D$3,0),1,10)*1&lt;10000000000,CONCATENATE("0",MID(VLOOKUP(Patienten_13C!B7,Data_Van_LIS_13C!A:D,Patienten_13C!$D$3,0),1,9)),MID(VLOOKUP(Patienten_13C!B7,Data_Van_LIS_13C!A:D,Patienten_13C!$D$3,0),1,10))</f>
        <v>#N/A</v>
      </c>
      <c r="B8" s="44"/>
      <c r="C8" s="44"/>
      <c r="D8" s="44"/>
      <c r="E8" s="44"/>
      <c r="F8" s="44"/>
      <c r="G8" s="44"/>
      <c r="H8" s="42">
        <f>_xlfn.IFNA(VAST13C!J22,0)</f>
        <v>0</v>
      </c>
      <c r="I8" s="42">
        <f>_xlfn.IFNA(VAST13C!K22,0)</f>
        <v>0</v>
      </c>
      <c r="J8" s="44"/>
      <c r="K8" s="44"/>
      <c r="L8" t="str">
        <f t="shared" si="0"/>
        <v/>
      </c>
      <c r="M8" s="44"/>
      <c r="N8" s="44"/>
    </row>
    <row r="9" spans="1:14" x14ac:dyDescent="0.2">
      <c r="A9" t="e">
        <f>IF(MID(VLOOKUP(Patienten_13C!B8,Data_Van_LIS_13C!A:D,Patienten_13C!$D$3,0),1,10)*1&lt;10000000000,CONCATENATE("0",MID(VLOOKUP(Patienten_13C!B8,Data_Van_LIS_13C!A:D,Patienten_13C!$D$3,0),1,9)),MID(VLOOKUP(Patienten_13C!B8,Data_Van_LIS_13C!A:D,Patienten_13C!$D$3,0),1,10))</f>
        <v>#N/A</v>
      </c>
      <c r="B9" s="44"/>
      <c r="C9" s="44"/>
      <c r="D9" s="44"/>
      <c r="E9" s="44"/>
      <c r="F9" s="44"/>
      <c r="G9" s="44"/>
      <c r="H9" s="42">
        <f>_xlfn.IFNA(VAST13C!J23,0)</f>
        <v>0</v>
      </c>
      <c r="I9" s="42">
        <f>_xlfn.IFNA(VAST13C!K23,0)</f>
        <v>0</v>
      </c>
      <c r="J9" s="44"/>
      <c r="K9" s="44"/>
      <c r="L9" t="str">
        <f t="shared" si="0"/>
        <v/>
      </c>
      <c r="M9" s="44"/>
      <c r="N9" s="44"/>
    </row>
    <row r="10" spans="1:14" x14ac:dyDescent="0.2">
      <c r="A10" t="e">
        <f>IF(MID(VLOOKUP(Patienten_13C!B9,Data_Van_LIS_13C!A:D,Patienten_13C!$D$3,0),1,10)*1&lt;10000000000,CONCATENATE("0",MID(VLOOKUP(Patienten_13C!B9,Data_Van_LIS_13C!A:D,Patienten_13C!$D$3,0),1,9)),MID(VLOOKUP(Patienten_13C!B9,Data_Van_LIS_13C!A:D,Patienten_13C!$D$3,0),1,10))</f>
        <v>#N/A</v>
      </c>
      <c r="B10" s="44"/>
      <c r="C10" s="44"/>
      <c r="D10" s="44"/>
      <c r="E10" s="44"/>
      <c r="F10" s="44"/>
      <c r="G10" s="44"/>
      <c r="H10" s="42">
        <f>_xlfn.IFNA(VAST13C!J24,0)</f>
        <v>0</v>
      </c>
      <c r="I10" s="42">
        <f>_xlfn.IFNA(VAST13C!K24,0)</f>
        <v>0</v>
      </c>
      <c r="J10" s="44"/>
      <c r="K10" s="44"/>
      <c r="L10" t="str">
        <f t="shared" si="0"/>
        <v/>
      </c>
      <c r="M10" s="44"/>
      <c r="N10" s="44"/>
    </row>
    <row r="11" spans="1:14" x14ac:dyDescent="0.2">
      <c r="A11" t="e">
        <f>IF(MID(VLOOKUP(Patienten_13C!B10,Data_Van_LIS_13C!A:D,Patienten_13C!$D$3,0),1,10)*1&lt;10000000000,CONCATENATE("0",MID(VLOOKUP(Patienten_13C!B10,Data_Van_LIS_13C!A:D,Patienten_13C!$D$3,0),1,9)),MID(VLOOKUP(Patienten_13C!B10,Data_Van_LIS_13C!A:D,Patienten_13C!$D$3,0),1,10))</f>
        <v>#N/A</v>
      </c>
      <c r="B11" s="44"/>
      <c r="C11" s="44"/>
      <c r="D11" s="44"/>
      <c r="E11" s="44"/>
      <c r="F11" s="44"/>
      <c r="G11" s="44"/>
      <c r="H11" s="42">
        <f>_xlfn.IFNA(VAST13C!J25,0)</f>
        <v>0</v>
      </c>
      <c r="I11" s="42">
        <f>_xlfn.IFNA(VAST13C!K25,0)</f>
        <v>0</v>
      </c>
      <c r="J11" s="44"/>
      <c r="K11" s="44"/>
      <c r="L11" t="str">
        <f t="shared" si="0"/>
        <v/>
      </c>
      <c r="M11" s="44"/>
      <c r="N11" s="44"/>
    </row>
    <row r="12" spans="1:14" x14ac:dyDescent="0.2">
      <c r="A12" t="e">
        <f>IF(MID(VLOOKUP(Patienten_13C!B11,Data_Van_LIS_13C!A:D,Patienten_13C!$D$3,0),1,10)*1&lt;10000000000,CONCATENATE("0",MID(VLOOKUP(Patienten_13C!B11,Data_Van_LIS_13C!A:D,Patienten_13C!$D$3,0),1,9)),MID(VLOOKUP(Patienten_13C!B11,Data_Van_LIS_13C!A:D,Patienten_13C!$D$3,0),1,10))</f>
        <v>#N/A</v>
      </c>
      <c r="B12" s="44"/>
      <c r="C12" s="44"/>
      <c r="D12" s="44"/>
      <c r="E12" s="44"/>
      <c r="F12" s="44"/>
      <c r="G12" s="44"/>
      <c r="H12" s="42">
        <f>_xlfn.IFNA(VAST13C!J26,0)</f>
        <v>0</v>
      </c>
      <c r="I12" s="42">
        <f>_xlfn.IFNA(VAST13C!K26,0)</f>
        <v>0</v>
      </c>
      <c r="J12" s="44"/>
      <c r="K12" s="44"/>
      <c r="L12" t="str">
        <f t="shared" si="0"/>
        <v/>
      </c>
      <c r="M12" s="44"/>
      <c r="N12" s="44"/>
    </row>
    <row r="13" spans="1:14" x14ac:dyDescent="0.2">
      <c r="A13" t="e">
        <f>IF(MID(VLOOKUP(Patienten_13C!B12,Data_Van_LIS_13C!A:D,Patienten_13C!$D$3,0),1,10)*1&lt;10000000000,CONCATENATE("0",MID(VLOOKUP(Patienten_13C!B12,Data_Van_LIS_13C!A:D,Patienten_13C!$D$3,0),1,9)),MID(VLOOKUP(Patienten_13C!B12,Data_Van_LIS_13C!A:D,Patienten_13C!$D$3,0),1,10))</f>
        <v>#N/A</v>
      </c>
      <c r="B13" s="44"/>
      <c r="C13" s="44"/>
      <c r="D13" s="44"/>
      <c r="E13" s="44"/>
      <c r="F13" s="44"/>
      <c r="G13" s="44"/>
      <c r="H13" s="42">
        <f>_xlfn.IFNA(VAST13C!J27,0)</f>
        <v>0</v>
      </c>
      <c r="I13" s="42">
        <f>_xlfn.IFNA(VAST13C!K27,0)</f>
        <v>0</v>
      </c>
      <c r="J13" s="44"/>
      <c r="K13" s="44"/>
      <c r="L13" t="str">
        <f t="shared" si="0"/>
        <v/>
      </c>
      <c r="M13" s="44"/>
      <c r="N13" s="44"/>
    </row>
    <row r="14" spans="1:14" x14ac:dyDescent="0.2">
      <c r="A14" t="e">
        <f>IF(MID(VLOOKUP(Patienten_13C!B13,Data_Van_LIS_13C!A:D,Patienten_13C!$D$3,0),1,10)*1&lt;10000000000,CONCATENATE("0",MID(VLOOKUP(Patienten_13C!B13,Data_Van_LIS_13C!A:D,Patienten_13C!$D$3,0),1,9)),MID(VLOOKUP(Patienten_13C!B13,Data_Van_LIS_13C!A:D,Patienten_13C!$D$3,0),1,10))</f>
        <v>#N/A</v>
      </c>
      <c r="B14" s="44"/>
      <c r="C14" s="44"/>
      <c r="D14" s="44"/>
      <c r="E14" s="44"/>
      <c r="F14" s="44"/>
      <c r="G14" s="44"/>
      <c r="H14" s="42">
        <f>_xlfn.IFNA(VAST13C!J28,0)</f>
        <v>0</v>
      </c>
      <c r="I14" s="42">
        <f>_xlfn.IFNA(VAST13C!K28,0)</f>
        <v>0</v>
      </c>
      <c r="J14" s="44"/>
      <c r="K14" s="44"/>
      <c r="L14" t="str">
        <f t="shared" si="0"/>
        <v/>
      </c>
      <c r="M14" s="44"/>
      <c r="N14" s="44"/>
    </row>
    <row r="15" spans="1:14" x14ac:dyDescent="0.2">
      <c r="A15" t="e">
        <f>IF(MID(VLOOKUP(Patienten_13C!B14,Data_Van_LIS_13C!A:D,Patienten_13C!$D$3,0),1,10)*1&lt;10000000000,CONCATENATE("0",MID(VLOOKUP(Patienten_13C!B14,Data_Van_LIS_13C!A:D,Patienten_13C!$D$3,0),1,9)),MID(VLOOKUP(Patienten_13C!B14,Data_Van_LIS_13C!A:D,Patienten_13C!$D$3,0),1,10))</f>
        <v>#N/A</v>
      </c>
      <c r="B15" s="44"/>
      <c r="C15" s="44"/>
      <c r="D15" s="44"/>
      <c r="E15" s="44"/>
      <c r="F15" s="44"/>
      <c r="G15" s="44"/>
      <c r="H15" s="42">
        <f>_xlfn.IFNA(VAST13C!J29,0)</f>
        <v>0</v>
      </c>
      <c r="I15" s="42">
        <f>_xlfn.IFNA(VAST13C!K29,0)</f>
        <v>0</v>
      </c>
      <c r="J15" s="44"/>
      <c r="K15" s="44"/>
      <c r="L15" t="str">
        <f t="shared" si="0"/>
        <v/>
      </c>
      <c r="M15" s="44"/>
      <c r="N15" s="44"/>
    </row>
    <row r="16" spans="1:14" x14ac:dyDescent="0.2">
      <c r="A16" t="e">
        <f>IF(MID(VLOOKUP(Patienten_13C!B15,Data_Van_LIS_13C!A:D,Patienten_13C!$D$3,0),1,10)*1&lt;10000000000,CONCATENATE("0",MID(VLOOKUP(Patienten_13C!B15,Data_Van_LIS_13C!A:D,Patienten_13C!$D$3,0),1,9)),MID(VLOOKUP(Patienten_13C!B15,Data_Van_LIS_13C!A:D,Patienten_13C!$D$3,0),1,10))</f>
        <v>#N/A</v>
      </c>
      <c r="B16" s="44"/>
      <c r="C16" s="44"/>
      <c r="D16" s="44"/>
      <c r="E16" s="44"/>
      <c r="F16" s="44"/>
      <c r="G16" s="44"/>
      <c r="H16" s="42">
        <f>_xlfn.IFNA(VAST13C!J30,0)</f>
        <v>0</v>
      </c>
      <c r="I16" s="42">
        <f>_xlfn.IFNA(VAST13C!K30,0)</f>
        <v>0</v>
      </c>
      <c r="J16" s="44"/>
      <c r="K16" s="44"/>
      <c r="L16" t="str">
        <f t="shared" si="0"/>
        <v/>
      </c>
      <c r="M16" s="44"/>
      <c r="N16" s="44"/>
    </row>
    <row r="17" spans="1:14" x14ac:dyDescent="0.2">
      <c r="A17" t="e">
        <f>IF(MID(VLOOKUP(Patienten_13C!B16,Data_Van_LIS_13C!A:D,Patienten_13C!$D$3,0),1,10)*1&lt;10000000000,CONCATENATE("0",MID(VLOOKUP(Patienten_13C!B16,Data_Van_LIS_13C!A:D,Patienten_13C!$D$3,0),1,9)),MID(VLOOKUP(Patienten_13C!B16,Data_Van_LIS_13C!A:D,Patienten_13C!$D$3,0),1,10))</f>
        <v>#N/A</v>
      </c>
      <c r="B17" s="44"/>
      <c r="C17" s="44"/>
      <c r="D17" s="44"/>
      <c r="E17" s="44"/>
      <c r="F17" s="44"/>
      <c r="G17" s="44"/>
      <c r="H17" s="42">
        <f>_xlfn.IFNA(VAST13C!J31,0)</f>
        <v>0</v>
      </c>
      <c r="I17" s="42">
        <f>_xlfn.IFNA(VAST13C!K31,0)</f>
        <v>0</v>
      </c>
      <c r="J17" s="44"/>
      <c r="K17" s="44"/>
      <c r="L17" t="str">
        <f t="shared" si="0"/>
        <v/>
      </c>
      <c r="M17" s="44"/>
      <c r="N17" s="44"/>
    </row>
    <row r="18" spans="1:14" x14ac:dyDescent="0.2">
      <c r="A18" t="e">
        <f>IF(MID(VLOOKUP(Patienten_13C!B17,Data_Van_LIS_13C!A:D,Patienten_13C!$D$3,0),1,10)*1&lt;10000000000,CONCATENATE("0",MID(VLOOKUP(Patienten_13C!B17,Data_Van_LIS_13C!A:D,Patienten_13C!$D$3,0),1,9)),MID(VLOOKUP(Patienten_13C!B17,Data_Van_LIS_13C!A:D,Patienten_13C!$D$3,0),1,10))</f>
        <v>#N/A</v>
      </c>
      <c r="B18" s="44"/>
      <c r="C18" s="44"/>
      <c r="D18" s="44"/>
      <c r="E18" s="44"/>
      <c r="F18" s="44"/>
      <c r="G18" s="44"/>
      <c r="H18" s="42">
        <f>_xlfn.IFNA(VAST13C!J32,0)</f>
        <v>0</v>
      </c>
      <c r="I18" s="42">
        <f>_xlfn.IFNA(VAST13C!K32,0)</f>
        <v>0</v>
      </c>
      <c r="J18" s="44"/>
      <c r="K18" s="44"/>
      <c r="L18" t="str">
        <f t="shared" si="0"/>
        <v/>
      </c>
      <c r="M18" s="44"/>
      <c r="N18" s="44"/>
    </row>
    <row r="19" spans="1:14" x14ac:dyDescent="0.2">
      <c r="A19" t="e">
        <f>IF(MID(VLOOKUP(Patienten_13C!B18,Data_Van_LIS_13C!A:D,Patienten_13C!$D$3,0),1,10)*1&lt;10000000000,CONCATENATE("0",MID(VLOOKUP(Patienten_13C!B18,Data_Van_LIS_13C!A:D,Patienten_13C!$D$3,0),1,9)),MID(VLOOKUP(Patienten_13C!B18,Data_Van_LIS_13C!A:D,Patienten_13C!$D$3,0),1,10))</f>
        <v>#N/A</v>
      </c>
      <c r="B19" s="44"/>
      <c r="C19" s="44"/>
      <c r="D19" s="44"/>
      <c r="E19" s="44"/>
      <c r="F19" s="44"/>
      <c r="G19" s="44"/>
      <c r="H19" s="42">
        <f>_xlfn.IFNA(VAST13C!J33,0)</f>
        <v>0</v>
      </c>
      <c r="I19" s="42">
        <f>_xlfn.IFNA(VAST13C!K33,0)</f>
        <v>0</v>
      </c>
      <c r="J19" s="44"/>
      <c r="K19" s="44"/>
      <c r="L19" t="str">
        <f t="shared" si="0"/>
        <v/>
      </c>
      <c r="M19" s="44"/>
      <c r="N19" s="44"/>
    </row>
    <row r="20" spans="1:14" x14ac:dyDescent="0.2">
      <c r="A20" t="e">
        <f>IF(MID(VLOOKUP(Patienten_13C!B19,Data_Van_LIS_13C!A:D,Patienten_13C!$D$3,0),1,10)*1&lt;10000000000,CONCATENATE("0",MID(VLOOKUP(Patienten_13C!B19,Data_Van_LIS_13C!A:D,Patienten_13C!$D$3,0),1,9)),MID(VLOOKUP(Patienten_13C!B19,Data_Van_LIS_13C!A:D,Patienten_13C!$D$3,0),1,10))</f>
        <v>#N/A</v>
      </c>
      <c r="B20" s="44"/>
      <c r="C20" s="44"/>
      <c r="D20" s="44"/>
      <c r="E20" s="44"/>
      <c r="F20" s="44"/>
      <c r="G20" s="44"/>
      <c r="H20" s="42">
        <f>_xlfn.IFNA(VAST13C!J34,0)</f>
        <v>0</v>
      </c>
      <c r="I20" s="42">
        <f>_xlfn.IFNA(VAST13C!K34,0)</f>
        <v>0</v>
      </c>
      <c r="J20" s="44"/>
      <c r="K20" s="44"/>
      <c r="L20" t="str">
        <f t="shared" si="0"/>
        <v/>
      </c>
      <c r="M20" s="44"/>
      <c r="N20" s="44"/>
    </row>
    <row r="28" spans="1:14" x14ac:dyDescent="0.2">
      <c r="D28" s="36"/>
    </row>
    <row r="35" spans="10:10" x14ac:dyDescent="0.2">
      <c r="J35" s="36"/>
    </row>
  </sheetData>
  <pageMargins left="0.7" right="0.7" top="0.75" bottom="0.75" header="0.3" footer="0.3"/>
  <pageSetup paperSize="9" orientation="portrait" r:id="rId1"/>
  <headerFooter>
    <oddHeader>&amp;LSOP-020 PRG-6&amp;Cversion 160201&amp;Rp. &amp;P/&amp;N</oddHeader>
    <oddFooter>&amp;LSystème qualité&amp;CLaboratoire CHC&amp;Rimprimé le 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"/>
  <dimension ref="A1:D41"/>
  <sheetViews>
    <sheetView zoomScaleNormal="100" workbookViewId="0">
      <pane ySplit="1" topLeftCell="A20" activePane="bottomLeft" state="frozen"/>
      <selection pane="bottomLeft" activeCell="C41" sqref="C41"/>
    </sheetView>
  </sheetViews>
  <sheetFormatPr baseColWidth="10" defaultColWidth="8.85546875" defaultRowHeight="12.75" x14ac:dyDescent="0.2"/>
  <cols>
    <col min="1" max="1" width="10.7109375" customWidth="1"/>
    <col min="2" max="2" width="19.42578125" customWidth="1"/>
    <col min="3" max="4" width="71.85546875" customWidth="1"/>
  </cols>
  <sheetData>
    <row r="1" spans="1:4" x14ac:dyDescent="0.2">
      <c r="A1" s="210" t="s">
        <v>109</v>
      </c>
      <c r="B1" s="210" t="s">
        <v>110</v>
      </c>
      <c r="C1" s="210" t="s">
        <v>111</v>
      </c>
      <c r="D1" s="229" t="s">
        <v>199</v>
      </c>
    </row>
    <row r="2" spans="1:4" x14ac:dyDescent="0.2">
      <c r="A2" s="211">
        <v>41718</v>
      </c>
      <c r="B2" s="76" t="s">
        <v>112</v>
      </c>
      <c r="C2" s="76" t="s">
        <v>113</v>
      </c>
      <c r="D2" s="76"/>
    </row>
    <row r="3" spans="1:4" x14ac:dyDescent="0.2">
      <c r="A3" s="211">
        <v>41779</v>
      </c>
      <c r="B3" s="76" t="s">
        <v>112</v>
      </c>
      <c r="C3" s="76" t="s">
        <v>114</v>
      </c>
      <c r="D3" s="76"/>
    </row>
    <row r="4" spans="1:4" ht="63.75" x14ac:dyDescent="0.2">
      <c r="A4" s="211">
        <v>41806</v>
      </c>
      <c r="B4" s="76" t="s">
        <v>112</v>
      </c>
      <c r="C4" s="76" t="s">
        <v>136</v>
      </c>
      <c r="D4" s="76"/>
    </row>
    <row r="5" spans="1:4" x14ac:dyDescent="0.2">
      <c r="A5" s="211">
        <v>41813</v>
      </c>
      <c r="B5" s="76" t="s">
        <v>137</v>
      </c>
      <c r="C5" s="76" t="s">
        <v>138</v>
      </c>
      <c r="D5" s="76"/>
    </row>
    <row r="6" spans="1:4" x14ac:dyDescent="0.2">
      <c r="A6" s="211">
        <v>41813</v>
      </c>
      <c r="B6" s="76" t="s">
        <v>112</v>
      </c>
      <c r="C6" s="76" t="s">
        <v>139</v>
      </c>
      <c r="D6" s="76"/>
    </row>
    <row r="7" spans="1:4" x14ac:dyDescent="0.2">
      <c r="A7" s="211">
        <v>41816</v>
      </c>
      <c r="B7" s="76" t="s">
        <v>137</v>
      </c>
      <c r="C7" s="76" t="s">
        <v>140</v>
      </c>
      <c r="D7" s="76"/>
    </row>
    <row r="8" spans="1:4" ht="76.5" x14ac:dyDescent="0.2">
      <c r="A8" s="211">
        <v>41990</v>
      </c>
      <c r="B8" s="76" t="s">
        <v>112</v>
      </c>
      <c r="C8" s="76" t="s">
        <v>143</v>
      </c>
      <c r="D8" s="76"/>
    </row>
    <row r="9" spans="1:4" ht="25.5" x14ac:dyDescent="0.2">
      <c r="A9" s="211" t="s">
        <v>145</v>
      </c>
      <c r="B9" s="76" t="s">
        <v>112</v>
      </c>
      <c r="C9" s="76" t="s">
        <v>144</v>
      </c>
      <c r="D9" s="76"/>
    </row>
    <row r="10" spans="1:4" ht="25.5" x14ac:dyDescent="0.2">
      <c r="A10" s="212" t="s">
        <v>146</v>
      </c>
      <c r="B10" s="77" t="s">
        <v>112</v>
      </c>
      <c r="C10" s="77" t="s">
        <v>147</v>
      </c>
      <c r="D10" s="77"/>
    </row>
    <row r="11" spans="1:4" x14ac:dyDescent="0.2">
      <c r="A11" s="212">
        <v>42249</v>
      </c>
      <c r="B11" s="77" t="s">
        <v>148</v>
      </c>
      <c r="C11" s="77" t="s">
        <v>149</v>
      </c>
      <c r="D11" s="77"/>
    </row>
    <row r="12" spans="1:4" x14ac:dyDescent="0.2">
      <c r="A12" s="211">
        <v>42284</v>
      </c>
      <c r="B12" s="76" t="s">
        <v>112</v>
      </c>
      <c r="C12" s="76" t="s">
        <v>150</v>
      </c>
      <c r="D12" s="76"/>
    </row>
    <row r="13" spans="1:4" ht="38.25" x14ac:dyDescent="0.2">
      <c r="A13" s="211">
        <v>42293</v>
      </c>
      <c r="B13" s="76" t="s">
        <v>112</v>
      </c>
      <c r="C13" s="76" t="s">
        <v>151</v>
      </c>
      <c r="D13" s="76"/>
    </row>
    <row r="14" spans="1:4" ht="76.5" x14ac:dyDescent="0.2">
      <c r="A14" s="213">
        <v>42401</v>
      </c>
      <c r="B14" s="194" t="s">
        <v>112</v>
      </c>
      <c r="C14" s="76" t="s">
        <v>152</v>
      </c>
      <c r="D14" s="76"/>
    </row>
    <row r="15" spans="1:4" ht="25.5" x14ac:dyDescent="0.2">
      <c r="A15" s="213">
        <v>42459</v>
      </c>
      <c r="B15" s="195" t="s">
        <v>112</v>
      </c>
      <c r="C15" s="214" t="s">
        <v>155</v>
      </c>
      <c r="D15" s="214"/>
    </row>
    <row r="16" spans="1:4" x14ac:dyDescent="0.2">
      <c r="A16" s="213">
        <v>42683</v>
      </c>
      <c r="B16" s="195" t="s">
        <v>112</v>
      </c>
      <c r="C16" s="214" t="s">
        <v>156</v>
      </c>
      <c r="D16" s="214"/>
    </row>
    <row r="17" spans="1:4" x14ac:dyDescent="0.2">
      <c r="A17" s="213">
        <v>42692</v>
      </c>
      <c r="B17" s="195" t="s">
        <v>112</v>
      </c>
      <c r="C17" s="214" t="s">
        <v>157</v>
      </c>
      <c r="D17" s="214"/>
    </row>
    <row r="18" spans="1:4" ht="51" x14ac:dyDescent="0.2">
      <c r="A18" s="213">
        <v>42779</v>
      </c>
      <c r="B18" s="194" t="s">
        <v>112</v>
      </c>
      <c r="C18" s="215" t="s">
        <v>165</v>
      </c>
      <c r="D18" s="215"/>
    </row>
    <row r="19" spans="1:4" ht="102" x14ac:dyDescent="0.2">
      <c r="A19" s="213">
        <v>42795</v>
      </c>
      <c r="B19" s="194" t="s">
        <v>112</v>
      </c>
      <c r="C19" s="215" t="s">
        <v>167</v>
      </c>
      <c r="D19" s="215"/>
    </row>
    <row r="20" spans="1:4" ht="33" customHeight="1" x14ac:dyDescent="0.2">
      <c r="A20" s="213">
        <v>42814</v>
      </c>
      <c r="B20" s="194" t="s">
        <v>112</v>
      </c>
      <c r="C20" s="215" t="s">
        <v>169</v>
      </c>
      <c r="D20" s="215" t="s">
        <v>255</v>
      </c>
    </row>
    <row r="21" spans="1:4" x14ac:dyDescent="0.2">
      <c r="A21" s="213">
        <v>42838</v>
      </c>
      <c r="B21" s="194" t="s">
        <v>112</v>
      </c>
      <c r="C21" s="215" t="s">
        <v>170</v>
      </c>
      <c r="D21" s="215"/>
    </row>
    <row r="22" spans="1:4" x14ac:dyDescent="0.2">
      <c r="A22" s="213">
        <v>43213</v>
      </c>
      <c r="B22" s="194" t="s">
        <v>112</v>
      </c>
      <c r="C22" s="215" t="s">
        <v>171</v>
      </c>
      <c r="D22" s="215"/>
    </row>
    <row r="23" spans="1:4" ht="51" x14ac:dyDescent="0.2">
      <c r="A23" s="213">
        <v>43563</v>
      </c>
      <c r="B23" s="194" t="s">
        <v>112</v>
      </c>
      <c r="C23" s="215" t="s">
        <v>182</v>
      </c>
      <c r="D23" s="215"/>
    </row>
    <row r="24" spans="1:4" x14ac:dyDescent="0.2">
      <c r="A24" s="213">
        <v>43580</v>
      </c>
      <c r="B24" s="194" t="s">
        <v>112</v>
      </c>
      <c r="C24" s="215" t="s">
        <v>190</v>
      </c>
      <c r="D24" s="215"/>
    </row>
    <row r="25" spans="1:4" x14ac:dyDescent="0.2">
      <c r="A25" s="213">
        <v>43826</v>
      </c>
      <c r="B25" s="194" t="s">
        <v>112</v>
      </c>
      <c r="C25" s="215" t="s">
        <v>191</v>
      </c>
      <c r="D25" s="215"/>
    </row>
    <row r="26" spans="1:4" x14ac:dyDescent="0.2">
      <c r="A26" s="213">
        <v>43826</v>
      </c>
      <c r="B26" s="194" t="s">
        <v>112</v>
      </c>
      <c r="C26" s="215" t="s">
        <v>192</v>
      </c>
      <c r="D26" s="215"/>
    </row>
    <row r="27" spans="1:4" x14ac:dyDescent="0.2">
      <c r="A27" s="213">
        <v>43978</v>
      </c>
      <c r="B27" s="194" t="s">
        <v>112</v>
      </c>
      <c r="C27" s="215" t="s">
        <v>193</v>
      </c>
      <c r="D27" s="215"/>
    </row>
    <row r="28" spans="1:4" x14ac:dyDescent="0.2">
      <c r="A28" s="213">
        <v>44062</v>
      </c>
      <c r="B28" s="194" t="s">
        <v>112</v>
      </c>
      <c r="C28" s="215" t="s">
        <v>194</v>
      </c>
      <c r="D28" s="215"/>
    </row>
    <row r="29" spans="1:4" x14ac:dyDescent="0.2">
      <c r="A29" s="213">
        <v>44091</v>
      </c>
      <c r="B29" s="194" t="s">
        <v>112</v>
      </c>
      <c r="C29" s="215" t="s">
        <v>195</v>
      </c>
      <c r="D29" s="215"/>
    </row>
    <row r="30" spans="1:4" x14ac:dyDescent="0.2">
      <c r="A30" s="213">
        <v>44342</v>
      </c>
      <c r="B30" s="194" t="s">
        <v>112</v>
      </c>
      <c r="C30" s="215" t="s">
        <v>198</v>
      </c>
      <c r="D30" s="215" t="s">
        <v>255</v>
      </c>
    </row>
    <row r="31" spans="1:4" x14ac:dyDescent="0.2">
      <c r="A31" s="213">
        <v>44510</v>
      </c>
      <c r="B31" s="194" t="s">
        <v>112</v>
      </c>
      <c r="C31" s="219" t="s">
        <v>200</v>
      </c>
      <c r="D31" s="215" t="s">
        <v>255</v>
      </c>
    </row>
    <row r="32" spans="1:4" ht="63.75" x14ac:dyDescent="0.2">
      <c r="A32" s="213">
        <v>44691</v>
      </c>
      <c r="B32" s="194" t="s">
        <v>112</v>
      </c>
      <c r="C32" s="219" t="s">
        <v>201</v>
      </c>
      <c r="D32" s="215" t="s">
        <v>255</v>
      </c>
    </row>
    <row r="33" spans="1:4" ht="25.5" x14ac:dyDescent="0.2">
      <c r="A33" s="213">
        <v>44692</v>
      </c>
      <c r="B33" s="194" t="s">
        <v>112</v>
      </c>
      <c r="C33" s="219" t="s">
        <v>203</v>
      </c>
      <c r="D33" s="221" t="s">
        <v>202</v>
      </c>
    </row>
    <row r="34" spans="1:4" x14ac:dyDescent="0.2">
      <c r="A34" s="213">
        <v>44903</v>
      </c>
      <c r="B34" s="194" t="s">
        <v>112</v>
      </c>
      <c r="C34" s="219" t="s">
        <v>204</v>
      </c>
      <c r="D34" s="221" t="s">
        <v>202</v>
      </c>
    </row>
    <row r="35" spans="1:4" ht="25.5" x14ac:dyDescent="0.2">
      <c r="A35" s="213">
        <v>45393</v>
      </c>
      <c r="B35" s="194" t="s">
        <v>112</v>
      </c>
      <c r="C35" s="219" t="s">
        <v>207</v>
      </c>
      <c r="D35" s="215" t="s">
        <v>255</v>
      </c>
    </row>
    <row r="36" spans="1:4" ht="25.5" x14ac:dyDescent="0.2">
      <c r="A36" s="213">
        <v>45443</v>
      </c>
      <c r="B36" s="194" t="s">
        <v>112</v>
      </c>
      <c r="C36" s="219" t="s">
        <v>209</v>
      </c>
      <c r="D36" s="215" t="s">
        <v>255</v>
      </c>
    </row>
    <row r="37" spans="1:4" x14ac:dyDescent="0.2">
      <c r="A37" s="213">
        <v>45455</v>
      </c>
      <c r="B37" s="194" t="s">
        <v>112</v>
      </c>
      <c r="C37" s="219" t="s">
        <v>212</v>
      </c>
      <c r="D37" s="215" t="s">
        <v>255</v>
      </c>
    </row>
    <row r="38" spans="1:4" ht="25.5" x14ac:dyDescent="0.2">
      <c r="A38" s="211" t="s">
        <v>247</v>
      </c>
      <c r="B38" s="76" t="s">
        <v>246</v>
      </c>
      <c r="C38" s="215" t="s">
        <v>248</v>
      </c>
      <c r="D38" s="215" t="s">
        <v>255</v>
      </c>
    </row>
    <row r="39" spans="1:4" x14ac:dyDescent="0.2">
      <c r="A39" s="211">
        <v>45944</v>
      </c>
      <c r="B39" s="76" t="s">
        <v>112</v>
      </c>
      <c r="C39" s="215" t="s">
        <v>250</v>
      </c>
      <c r="D39" s="221" t="s">
        <v>202</v>
      </c>
    </row>
    <row r="40" spans="1:4" x14ac:dyDescent="0.2">
      <c r="A40" s="226">
        <v>46225</v>
      </c>
      <c r="B40" s="227" t="s">
        <v>112</v>
      </c>
      <c r="C40" s="228" t="s">
        <v>256</v>
      </c>
      <c r="D40" s="215" t="s">
        <v>255</v>
      </c>
    </row>
    <row r="41" spans="1:4" x14ac:dyDescent="0.2">
      <c r="A41" s="226">
        <v>46288</v>
      </c>
      <c r="B41" s="227" t="s">
        <v>258</v>
      </c>
      <c r="C41" s="228" t="s">
        <v>259</v>
      </c>
      <c r="D41" s="215"/>
    </row>
  </sheetData>
  <hyperlinks>
    <hyperlink ref="D1" r:id="rId1" xr:uid="{B1BB0E00-73FC-4836-B345-62C1E0423D34}"/>
  </hyperlinks>
  <pageMargins left="0.7" right="0.7" top="0.75" bottom="0.75" header="0.3" footer="0.3"/>
  <pageSetup paperSize="9" scale="89" orientation="portrait" r:id="rId2"/>
  <headerFooter>
    <oddHeader>&amp;LSOP-020 PRG-6&amp;Cversion 140320
&amp;Rp. &amp;P/&amp;N</oddHeader>
    <oddFooter>&amp;LSystème qualité&amp;CLaboratoire CHC&amp;Rimprimé le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13</vt:i4>
      </vt:variant>
    </vt:vector>
  </HeadingPairs>
  <TitlesOfParts>
    <vt:vector size="24" baseType="lpstr">
      <vt:lpstr>Instructies</vt:lpstr>
      <vt:lpstr>VAST13C</vt:lpstr>
      <vt:lpstr>valeurs_normales_vidange_enfant</vt:lpstr>
      <vt:lpstr>RAPVAST13CKWS</vt:lpstr>
      <vt:lpstr>RAPVAST13CKWS-kind</vt:lpstr>
      <vt:lpstr>Data_Van_LIS_13C</vt:lpstr>
      <vt:lpstr>Patienten_13C</vt:lpstr>
      <vt:lpstr>Sheet1</vt:lpstr>
      <vt:lpstr>CO2-prod enfants</vt:lpstr>
      <vt:lpstr>Data_Naar_LIS_13C</vt:lpstr>
      <vt:lpstr>historique_revisions</vt:lpstr>
      <vt:lpstr>Afname9</vt:lpstr>
      <vt:lpstr>DatumVanLIS9</vt:lpstr>
      <vt:lpstr>RAPVAST13CKWS!deel1</vt:lpstr>
      <vt:lpstr>RAPVAST13CKWS!deel2</vt:lpstr>
      <vt:lpstr>RAPVAST13CKWS!deel3</vt:lpstr>
      <vt:lpstr>RAPVAST13CKWS!deel4</vt:lpstr>
      <vt:lpstr>Eadnrs9</vt:lpstr>
      <vt:lpstr>Geboortedatum9</vt:lpstr>
      <vt:lpstr>Geslacht9</vt:lpstr>
      <vt:lpstr>Gewicht9</vt:lpstr>
      <vt:lpstr>Lengte9</vt:lpstr>
      <vt:lpstr>Lotnummer9</vt:lpstr>
      <vt:lpstr>Patient9</vt:lpstr>
    </vt:vector>
  </TitlesOfParts>
  <Company>U.Z. Leuven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els.houben@uzleuven.be</dc:creator>
  <cp:lastModifiedBy>BUSSERS, Charles</cp:lastModifiedBy>
  <cp:lastPrinted>2024-06-12T05:56:14Z</cp:lastPrinted>
  <dcterms:created xsi:type="dcterms:W3CDTF">2001-05-07T12:21:28Z</dcterms:created>
  <dcterms:modified xsi:type="dcterms:W3CDTF">2026-09-23T12:34:41Z</dcterms:modified>
</cp:coreProperties>
</file>